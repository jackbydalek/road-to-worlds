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9e1f4cfad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258c0090704673"/>
    <x:sheet xmlns:r="http://schemas.openxmlformats.org/officeDocument/2006/relationships" name="Cards" sheetId="2" r:id="Recd6e8a9df784591"/>
    <x:sheet xmlns:r="http://schemas.openxmlformats.org/officeDocument/2006/relationships" name="Runtime Tokens" sheetId="3" r:id="Rd6a2b2fc217b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8546A"/>
      <x:name val="Carlito"/>
    </x:font>
    <x:font>
      <x:sz val="11"/>
      <x:color rgb="FF243746"/>
      <x:name val="Carlito"/>
    </x:font>
    <x:font>
      <x:sz val="11"/>
      <x:color rgb="FF25623A"/>
      <x:name val="Carlito"/>
    </x:font>
    <x:font>
      <x:b/>
      <x:sz val="11"/>
      <x:color rgb="FF2562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557A"/>
      </x:patternFill>
    </x:fill>
    <x:fill>
      <x:patternFill patternType="solid">
        <x:fgColor rgb="FFDFF3E4"/>
      </x:patternFill>
    </x:fill>
  </x:fills>
  <x:borders count="7">
    <x:border/>
    <x:border>
      <x:left style="thin">
        <x:color rgb="FF24557A"/>
      </x:left>
      <x:top style="thin">
        <x:color rgb="FF24557A"/>
      </x:top>
      <x:bottom style="thin">
        <x:color rgb="FF24557A"/>
      </x:bottom>
    </x:border>
    <x:border>
      <x:right style="thin">
        <x:color rgb="FF24557A"/>
      </x:right>
      <x:top style="thin">
        <x:color rgb="FF24557A"/>
      </x:top>
      <x:bottom style="thin">
        <x:color rgb="FF24557A"/>
      </x:bottom>
    </x:border>
    <x:border>
      <x:top style="thin">
        <x:color rgb="FF24557A"/>
      </x:top>
      <x:bottom style="thin">
        <x:color rgb="FF24557A"/>
      </x:bottom>
    </x:border>
    <x:border>
      <x:bottom style="thin">
        <x:color rgb="FFCAD6E2"/>
      </x:bottom>
    </x:border>
    <x:border>
      <x:top style="thin">
        <x:color rgb="FFCAD6E2"/>
      </x:top>
      <x:bottom style="thin">
        <x:color rgb="FFCAD6E2"/>
      </x:bottom>
    </x:border>
    <x:border>
      <x:top style="thin">
        <x:color rgb="FFCAD6E2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/>
    <x:xf numFmtId="0" fontId="1" fillId="4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5c021c37f4dd3" /><Relationship Type="http://schemas.openxmlformats.org/officeDocument/2006/relationships/theme" Target="/xl/theme/theme1.xml" Id="R9903ebaa7f024889" /><Relationship Type="http://schemas.openxmlformats.org/officeDocument/2006/relationships/sharedStrings" Target="/xl/sharedStrings.xml" Id="R1f82b108a4b64c13" /><Relationship Type="http://schemas.openxmlformats.org/officeDocument/2006/relationships/worksheet" Target="/xl/worksheets/sheet1.xml" Id="R25258c0090704673" /><Relationship Type="http://schemas.openxmlformats.org/officeDocument/2006/relationships/worksheet" Target="/xl/worksheets/sheet2.xml" Id="Recd6e8a9df784591" /><Relationship Type="http://schemas.openxmlformats.org/officeDocument/2006/relationships/worksheet" Target="/xl/worksheets/sheet3.xml" Id="Rd6a2b2fc217b4592" /></Relationships>
</file>

<file path=xl/tables/table1.xml><?xml version="1.0" encoding="utf-8"?>
<x:table xmlns:x="http://schemas.openxmlformats.org/spreadsheetml/2006/main" id="1" name="ImplementedCardsTable" displayName="ImplementedCardsTable" ref="A4:T93" headerRowCount="1" totalsRowCount="0" totalsRowShown="0">
  <x:autoFilter ref="A4:T93"/>
  <x:tableColumns count="20">
    <x:tableColumn id="1" name="Name"/>
    <x:tableColumn id="2" name="Subtitle"/>
    <x:tableColumn id="3" name="Card ID"/>
    <x:tableColumn id="4" name="Card Type"/>
    <x:tableColumn id="5" name="Archetype"/>
    <x:tableColumn id="6" name="Rare Flag"/>
    <x:tableColumn id="7" name="Rarity"/>
    <x:tableColumn id="8" name="Attack"/>
    <x:tableColumn id="9" name="Health"/>
    <x:tableColumn id="10" name="Ingredient Types / Recipe"/>
    <x:tableColumn id="11" name="Play / Serve Cost"/>
    <x:tableColumn id="12" name="Ability / Reaction Cost"/>
    <x:tableColumn id="13" name="Recipe Slots"/>
    <x:tableColumn id="14" name="Discard Cost"/>
    <x:tableColumn id="15" name="Runtime Cost"/>
    <x:tableColumn id="16" name="Base Value"/>
    <x:tableColumn id="17" name="Stats / Effects"/>
    <x:tableColumn id="18" name="Mechanical Implementation Evidence"/>
    <x:tableColumn id="19" name="Status"/>
    <x:tableColumn id="2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timeTokensTable" displayName="RuntimeTokensTable" ref="A4:H5" headerRowCount="1" totalsRowCount="0" totalsRowShown="0">
  <x:tableColumns count="8">
    <x:tableColumn id="1" name="Name"/>
    <x:tableColumn id="2" name="Card ID"/>
    <x:tableColumn id="3" name="Card Type"/>
    <x:tableColumn id="4" name="Archetype"/>
    <x:tableColumn id="5" name="Attack"/>
    <x:tableColumn id="6" name="Health"/>
    <x:tableColumn id="7" name="Cost"/>
    <x:tableColumn id="8" name="Effect / Ru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63fdd4bab343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dae684c25043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0.630000114440918" hidden="0" customWidth="1"/>
    <x:col min="3" max="3" width="3.5" hidden="0" customWidth="1"/>
    <x:col min="4" max="4" width="23.1299991607666" hidden="0" customWidth="1"/>
    <x:col min="5" max="5" width="10.630000114440918" hidden="0" customWidth="1"/>
    <x:col min="6" max="6" width="3.5" hidden="0" customWidth="1"/>
    <x:col min="7" max="7" width="16.25" hidden="0" customWidth="1"/>
    <x:col min="8" max="8" width="11.880000114440918" hidden="0" customWidth="1"/>
  </x:cols>
  <x:sheetData>
    <x:row r="1" ht="31.5" customHeight="1">
      <x:c r="A1" s="35" t="str">
        <x:v>Road to Worlds — Mechanically Implemented Card Catalog</x:v>
      </x:c>
      <x:c r="B1" s="35"/>
      <x:c r="C1" s="35"/>
      <x:c r="D1" s="35"/>
      <x:c r="E1" s="35"/>
      <x:c r="F1" s="35"/>
      <x:c r="G1" s="35"/>
      <x:c r="H1" s="35"/>
    </x:row>
    <x:row r="2" ht="21" customHeight="1">
      <x:c r="A2" s="36" t="str">
        <x:v>Live catalog audit from data/cards.json (schema v2), verified against CookingCombatService.gd on 2026-07-25</x:v>
      </x:c>
      <x:c r="B2" s="36"/>
      <x:c r="C2" s="36"/>
      <x:c r="D2" s="36"/>
      <x:c r="E2" s="36"/>
      <x:c r="F2" s="36"/>
      <x:c r="G2" s="36"/>
      <x:c r="H2" s="36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8" t="str">
        <x:v>Catalog KPI</x:v>
      </x:c>
      <x:c r="B4" s="39" t="str">
        <x:v>Count</x:v>
      </x:c>
      <x:c r="C4" s="37"/>
      <x:c r="D4" s="38" t="str">
        <x:v>Card Type</x:v>
      </x:c>
      <x:c r="E4" s="39" t="str">
        <x:v>Count</x:v>
      </x:c>
      <x:c r="F4" s="37"/>
      <x:c r="G4" s="38" t="str">
        <x:v>Rarity</x:v>
      </x:c>
      <x:c r="H4" s="39" t="str">
        <x:v>Count</x:v>
      </x:c>
    </x:row>
    <x:row r="5">
      <x:c r="A5" s="22" t="str">
        <x:v>Collectible cards</x:v>
      </x:c>
      <x:c r="B5" s="40" t="n">
        <x:f>COUNTA('Cards'!$A$5:$A$93)</x:f>
        <x:v>89</x:v>
      </x:c>
      <x:c r="C5" s="37"/>
      <x:c r="D5" s="22" t="str">
        <x:v>Ingredient</x:v>
      </x:c>
      <x:c r="E5" s="40" t="n">
        <x:f>COUNTIF('Cards'!$D$5:$D$93,D5)</x:f>
        <x:v>36</x:v>
      </x:c>
      <x:c r="F5" s="37"/>
      <x:c r="G5" s="22" t="str">
        <x:v>Common</x:v>
      </x:c>
      <x:c r="H5" s="40" t="n">
        <x:f>COUNTIF('Cards'!$G$5:$G$93,G5)</x:f>
        <x:v>36</x:v>
      </x:c>
    </x:row>
    <x:row r="6">
      <x:c r="A6" s="23" t="str">
        <x:v>Runtime tokens</x:v>
      </x:c>
      <x:c r="B6" s="41" t="n">
        <x:f>COUNTA('Runtime Tokens'!$A$5:$A$5)</x:f>
        <x:v>1</x:v>
      </x:c>
      <x:c r="C6" s="37"/>
      <x:c r="D6" s="23" t="str">
        <x:v>Meal</x:v>
      </x:c>
      <x:c r="E6" s="41" t="n">
        <x:f>COUNTIF('Cards'!$D$5:$D$93,D6)</x:f>
        <x:v>28</x:v>
      </x:c>
      <x:c r="F6" s="37"/>
      <x:c r="G6" s="23" t="str">
        <x:v>Uncommon</x:v>
      </x:c>
      <x:c r="H6" s="41" t="n">
        <x:f>COUNTIF('Cards'!$G$5:$G$93,G6)</x:f>
        <x:v>17</x:v>
      </x:c>
    </x:row>
    <x:row r="7">
      <x:c r="A7" s="23" t="str">
        <x:v>Combat units</x:v>
      </x:c>
      <x:c r="B7" s="41" t="n">
        <x:f>COUNTIF('Cards'!$D$5:$D$93,"Ingredient")+COUNTIF('Cards'!$D$5:$D$93,"Meal")</x:f>
        <x:v>64</x:v>
      </x:c>
      <x:c r="C7" s="37"/>
      <x:c r="D7" s="23" t="str">
        <x:v>Tool</x:v>
      </x:c>
      <x:c r="E7" s="41" t="n">
        <x:f>COUNTIF('Cards'!$D$5:$D$93,D7)</x:f>
        <x:v>15</x:v>
      </x:c>
      <x:c r="F7" s="37"/>
      <x:c r="G7" s="23" t="str">
        <x:v>Rare</x:v>
      </x:c>
      <x:c r="H7" s="41" t="n">
        <x:f>COUNTIF('Cards'!$G$5:$G$93,G7)</x:f>
        <x:v>32</x:v>
      </x:c>
    </x:row>
    <x:row r="8">
      <x:c r="A8" s="23" t="str">
        <x:v>Cards with printed effects</x:v>
      </x:c>
      <x:c r="B8" s="41" t="n">
        <x:f>COUNTIF('Cards'!$Q$5:$Q$93,"&lt;&gt;No additional effect.")</x:f>
        <x:v>80</x:v>
      </x:c>
      <x:c r="C8" s="37"/>
      <x:c r="D8" s="23" t="str">
        <x:v>Spice</x:v>
      </x:c>
      <x:c r="E8" s="41" t="n">
        <x:f>COUNTIF('Cards'!$D$5:$D$93,D8)</x:f>
        <x:v>3</x:v>
      </x:c>
      <x:c r="F8" s="37"/>
      <x:c r="G8" s="24" t="str">
        <x:v>Mythic</x:v>
      </x:c>
      <x:c r="H8" s="42" t="n">
        <x:f>COUNTIF('Cards'!$G$5:$G$93,G8)</x:f>
        <x:v>4</x:v>
      </x:c>
    </x:row>
    <x:row r="9">
      <x:c r="A9" s="24" t="str">
        <x:v>Passing smoke tests</x:v>
      </x:c>
      <x:c r="B9" s="42" t="n">
        <x:v>2</x:v>
      </x:c>
      <x:c r="C9" s="37"/>
      <x:c r="D9" s="23" t="str">
        <x:v>Environment</x:v>
      </x:c>
      <x:c r="E9" s="41" t="n">
        <x:f>COUNTIF('Cards'!$D$5:$D$93,D9)</x:f>
        <x:v>3</x:v>
      </x:c>
      <x:c r="F9" s="37"/>
      <x:c r="G9" s="37"/>
      <x:c r="H9" s="37"/>
    </x:row>
    <x:row r="10">
      <x:c r="A10" s="37"/>
      <x:c r="B10" s="37"/>
      <x:c r="C10" s="37"/>
      <x:c r="D10" s="24" t="str">
        <x:v>Chef</x:v>
      </x:c>
      <x:c r="E10" s="42" t="n">
        <x:f>COUNTIF('Cards'!$D$5:$D$93,D10)</x:f>
        <x:v>4</x:v>
      </x:c>
      <x:c r="F10" s="37"/>
      <x:c r="G10" s="37"/>
      <x:c r="H10" s="37"/>
    </x:row>
    <x:row r="11">
      <x:c r="A11" s="37"/>
      <x:c r="B11" s="37"/>
      <x:c r="C11" s="37"/>
      <x:c r="D11" s="37"/>
      <x:c r="E11" s="37"/>
      <x:c r="F11" s="37"/>
      <x:c r="G11" s="37"/>
      <x:c r="H11" s="37"/>
    </x:row>
    <x:row r="12">
      <x:c r="A12" s="38" t="str">
        <x:v>Archetype</x:v>
      </x:c>
      <x:c r="B12" s="39" t="str">
        <x:v>Count</x:v>
      </x:c>
      <x:c r="C12" s="37"/>
      <x:c r="D12" s="38" t="str">
        <x:v>How costs are represented</x:v>
      </x:c>
      <x:c r="E12" s="43"/>
      <x:c r="F12" s="43"/>
      <x:c r="G12" s="43"/>
      <x:c r="H12" s="39"/>
    </x:row>
    <x:row r="13" ht="25.5" customHeight="1">
      <x:c r="A13" s="22" t="str">
        <x:v>Spicy</x:v>
      </x:c>
      <x:c r="B13" s="40" t="n">
        <x:f>COUNTIF('Cards'!$E$5:$E$93,A13)</x:f>
        <x:v>18</x:v>
      </x:c>
      <x:c r="C13" s="37"/>
      <x:c r="D13" s="22" t="str">
        <x:v>Meals: matching Ingredients are sacrificed; certain Meals also require a Meal sacrifice.</x:v>
      </x:c>
      <x:c r="E13" s="22"/>
      <x:c r="F13" s="22"/>
      <x:c r="G13" s="22"/>
      <x:c r="H13" s="22"/>
    </x:row>
    <x:row r="14" ht="25.5" customHeight="1">
      <x:c r="A14" s="23" t="str">
        <x:v>Hearty</x:v>
      </x:c>
      <x:c r="B14" s="41" t="n">
        <x:f>COUNTIF('Cards'!$E$5:$E$93,A14)</x:f>
        <x:v>18</x:v>
      </x:c>
      <x:c r="C14" s="37"/>
      <x:c r="D14" s="23" t="str">
        <x:v>Tools: any discard cost is shown separately. Tools without a discard cost have no additional cost.</x:v>
      </x:c>
      <x:c r="E14" s="23"/>
      <x:c r="F14" s="23"/>
      <x:c r="G14" s="23"/>
      <x:c r="H14" s="23"/>
    </x:row>
    <x:row r="15" ht="25.5" customHeight="1">
      <x:c r="A15" s="23" t="str">
        <x:v>Sweet</x:v>
      </x:c>
      <x:c r="B15" s="41" t="n">
        <x:f>COUNTIF('Cards'!$E$5:$E$93,A15)</x:f>
        <x:v>19</x:v>
      </x:c>
      <x:c r="C15" s="37"/>
      <x:c r="D15" s="23" t="str">
        <x:v>Ability/reaction costs are separate from play/serve costs (for example, sacrifice self or discard this Hand Trap).</x:v>
      </x:c>
      <x:c r="E15" s="23"/>
      <x:c r="F15" s="23"/>
      <x:c r="G15" s="23"/>
      <x:c r="H15" s="23"/>
    </x:row>
    <x:row r="16" ht="25.5" customHeight="1">
      <x:c r="A16" s="23" t="str">
        <x:v>Fresh</x:v>
      </x:c>
      <x:c r="B16" s="41" t="n">
        <x:f>COUNTIF('Cards'!$E$5:$E$93,A16)</x:f>
        <x:v>7</x:v>
      </x:c>
      <x:c r="C16" s="37"/>
      <x:c r="D16" s="23" t="str">
        <x:v>Runtime Cost mirrors ContentCatalog.gd: Meal recipe slots, otherwise Tool discard cost; the extra Meal sacrifice is excluded.</x:v>
      </x:c>
      <x:c r="E16" s="23"/>
      <x:c r="F16" s="23"/>
      <x:c r="G16" s="23"/>
      <x:c r="H16" s="23"/>
    </x:row>
    <x:row r="17" ht="25.5" customHeight="1">
      <x:c r="A17" s="23" t="str">
        <x:v>Funky</x:v>
      </x:c>
      <x:c r="B17" s="41" t="n">
        <x:f>COUNTIF('Cards'!$E$5:$E$93,A17)</x:f>
        <x:v>8</x:v>
      </x:c>
      <x:c r="C17" s="37"/>
      <x:c r="D17" s="24" t="str">
        <x:v>Base Value is the campaign rarity value. Shop price is dynamic and can be higher with metagame demand.</x:v>
      </x:c>
      <x:c r="E17" s="24"/>
      <x:c r="F17" s="24"/>
      <x:c r="G17" s="24"/>
      <x:c r="H17" s="24"/>
    </x:row>
    <x:row r="18">
      <x:c r="A18" s="24" t="str">
        <x:v>Neutral</x:v>
      </x:c>
      <x:c r="B18" s="42" t="n">
        <x:f>COUNTIF('Cards'!$E$5:$E$93,A18)</x:f>
        <x:v>19</x:v>
      </x:c>
      <x:c r="C18" s="37"/>
      <x:c r="D18" s="37"/>
      <x:c r="E18" s="37"/>
      <x:c r="F18" s="37"/>
      <x:c r="G18" s="37"/>
      <x:c r="H18" s="37"/>
    </x:row>
    <x:row r="19">
      <x:c r="A19" s="37"/>
      <x:c r="B19" s="37"/>
      <x:c r="C19" s="37"/>
      <x:c r="D19" s="37"/>
      <x:c r="E19" s="37"/>
      <x:c r="F19" s="37"/>
      <x:c r="G19" s="37"/>
      <x:c r="H19" s="37"/>
    </x:row>
    <x:row r="20">
      <x:c r="A20" s="37"/>
      <x:c r="B20" s="37"/>
      <x:c r="C20" s="37"/>
      <x:c r="D20" s="37"/>
      <x:c r="E20" s="37"/>
      <x:c r="F20" s="37"/>
      <x:c r="G20" s="37"/>
      <x:c r="H20" s="37"/>
    </x:row>
    <x:row r="21">
      <x:c r="A21" s="38" t="str">
        <x:v>Implementation verification</x:v>
      </x:c>
      <x:c r="B21" s="43"/>
      <x:c r="C21" s="43"/>
      <x:c r="D21" s="43"/>
      <x:c r="E21" s="43"/>
      <x:c r="F21" s="43"/>
      <x:c r="G21" s="43"/>
      <x:c r="H21" s="39"/>
    </x:row>
    <x:row r="22" ht="24" customHeight="1">
      <x:c r="A22" s="31" t="str">
        <x:v>All 35 structured effect types declared in the live catalog have matching resolver paths in CookingCombatService.gd.</x:v>
      </x:c>
      <x:c r="B22" s="31"/>
      <x:c r="C22" s="31"/>
      <x:c r="D22" s="31"/>
      <x:c r="E22" s="31"/>
      <x:c r="F22" s="31"/>
      <x:c r="G22" s="31"/>
      <x:c r="H22" s="31"/>
    </x:row>
    <x:row r="23" ht="24" customHeight="1">
      <x:c r="A23" s="32" t="str">
        <x:v>KitchenGameSmokeTest.gd passed on Godot 4.6.3.</x:v>
      </x:c>
      <x:c r="B23" s="32"/>
      <x:c r="C23" s="32"/>
      <x:c r="D23" s="32"/>
      <x:c r="E23" s="32"/>
      <x:c r="F23" s="32"/>
      <x:c r="G23" s="32"/>
      <x:c r="H23" s="32"/>
    </x:row>
    <x:row r="24" ht="24" customHeight="1">
      <x:c r="A24" s="32" t="str">
        <x:v>FreshFunkyEffectsSmokeTest.gd passed on Godot 4.6.3.</x:v>
      </x:c>
      <x:c r="B24" s="32"/>
      <x:c r="C24" s="32"/>
      <x:c r="D24" s="32"/>
      <x:c r="E24" s="32"/>
      <x:c r="F24" s="32"/>
      <x:c r="G24" s="32"/>
      <x:c r="H24" s="32"/>
    </x:row>
    <x:row r="25" ht="24" customHeight="1">
      <x:c r="A25" s="33" t="str">
        <x:v>The Fresh Ingredient Token is runtime-generated and therefore listed separately from the 89 collectible cards.</x:v>
      </x:c>
      <x:c r="B25" s="33"/>
      <x:c r="C25" s="33"/>
      <x:c r="D25" s="33"/>
      <x:c r="E25" s="33"/>
      <x:c r="F25" s="33"/>
      <x:c r="G25" s="33"/>
      <x:c r="H25" s="33"/>
    </x:row>
  </x:sheetData>
  <x:mergeCells>
    <x:mergeCell ref="A1:H1"/>
    <x:mergeCell ref="A2:H2"/>
    <x:mergeCell ref="D12:H12"/>
    <x:mergeCell ref="D13:H13"/>
    <x:mergeCell ref="D14:H14"/>
    <x:mergeCell ref="D15:H15"/>
    <x:mergeCell ref="D16:H16"/>
    <x:mergeCell ref="D17:H17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1.25" hidden="0" customWidth="1"/>
    <x:col min="3" max="3" width="26.25" hidden="0" customWidth="1"/>
    <x:col min="4" max="4" width="11.880000114440918" hidden="0" customWidth="1"/>
    <x:col min="5" max="5" width="11.25" hidden="0" customWidth="1"/>
    <x:col min="6" max="6" width="9.25" hidden="0" customWidth="1"/>
    <x:col min="7" max="7" width="10.630000114440918" hidden="0" customWidth="1"/>
    <x:col min="8" max="8" width="7.75" hidden="0" customWidth="1"/>
    <x:col min="9" max="9" width="7.75" hidden="0" customWidth="1"/>
    <x:col min="10" max="10" width="21.25" hidden="0" customWidth="1"/>
    <x:col min="11" max="11" width="31.25" hidden="0" customWidth="1"/>
    <x:col min="12" max="12" width="27.5" hidden="0" customWidth="1"/>
    <x:col min="13" max="13" width="10" hidden="0" customWidth="1"/>
    <x:col min="14" max="14" width="10.25" hidden="0" customWidth="1"/>
    <x:col min="15" max="15" width="11" hidden="0" customWidth="1"/>
    <x:col min="16" max="16" width="9.75" hidden="0" customWidth="1"/>
    <x:col min="17" max="17" width="52.5" hidden="0" customWidth="1"/>
    <x:col min="18" max="18" width="55" hidden="0" customWidth="1"/>
    <x:col min="19" max="19" width="13.130000114440918" hidden="0" customWidth="1"/>
    <x:col min="20" max="20" width="32.5" hidden="0" customWidth="1"/>
  </x:cols>
  <x:sheetData>
    <x:row r="1" ht="28.5" customHeight="1">
      <x:c r="A1" s="3" t="str">
        <x:v>Collectible Cards — 89 mechanically implemented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1" customHeight="1">
      <x:c r="A2" s="6" t="str">
        <x:v>Use the table filters to narrow by type, archetype, rarity, cost, or mechanic. Rules text is player-facing; implementation evidence names the structured engine hooks.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>
      <x:c r="A4" s="48" t="str">
        <x:v>Name</x:v>
      </x:c>
      <x:c r="B4" s="48" t="str">
        <x:v>Subtitle</x:v>
      </x:c>
      <x:c r="C4" s="48" t="str">
        <x:v>Card ID</x:v>
      </x:c>
      <x:c r="D4" s="48" t="str">
        <x:v>Card Type</x:v>
      </x:c>
      <x:c r="E4" s="48" t="str">
        <x:v>Archetype</x:v>
      </x:c>
      <x:c r="F4" s="48" t="str">
        <x:v>Rare Flag</x:v>
      </x:c>
      <x:c r="G4" s="48" t="str">
        <x:v>Rarity</x:v>
      </x:c>
      <x:c r="H4" s="48" t="str">
        <x:v>Attack</x:v>
      </x:c>
      <x:c r="I4" s="48" t="str">
        <x:v>Health</x:v>
      </x:c>
      <x:c r="J4" s="48" t="str">
        <x:v>Ingredient Types / Recipe</x:v>
      </x:c>
      <x:c r="K4" s="48" t="str">
        <x:v>Play / Serve Cost</x:v>
      </x:c>
      <x:c r="L4" s="48" t="str">
        <x:v>Ability / Reaction Cost</x:v>
      </x:c>
      <x:c r="M4" s="48" t="str">
        <x:v>Recipe Slots</x:v>
      </x:c>
      <x:c r="N4" s="48" t="str">
        <x:v>Discard Cost</x:v>
      </x:c>
      <x:c r="O4" s="48" t="str">
        <x:v>Runtime Cost</x:v>
      </x:c>
      <x:c r="P4" s="48" t="str">
        <x:v>Base Value</x:v>
      </x:c>
      <x:c r="Q4" s="48" t="str">
        <x:v>Stats / Effects</x:v>
      </x:c>
      <x:c r="R4" s="48" t="str">
        <x:v>Mechanical Implementation Evidence</x:v>
      </x:c>
      <x:c r="S4" s="48" t="str">
        <x:v>Status</x:v>
      </x:c>
      <x:c r="T4" s="48" t="str">
        <x:v>Source</x:v>
      </x:c>
    </x:row>
    <x:row r="5" ht="45" customHeight="1">
      <x:c r="A5" s="44" t="str">
        <x:v>Sriracharrow</x:v>
      </x:c>
      <x:c r="B5" s="44" t="str">
        <x:v>Sriracha Sparrow</x:v>
      </x:c>
      <x:c r="C5" s="44" t="str">
        <x:v>spicy_sriracharrow</x:v>
      </x:c>
      <x:c r="D5" s="44" t="str">
        <x:v>Meal</x:v>
      </x:c>
      <x:c r="E5" s="44" t="str">
        <x:v>Spicy</x:v>
      </x:c>
      <x:c r="F5" s="44" t="str">
        <x:v>No</x:v>
      </x:c>
      <x:c r="G5" s="44" t="str">
        <x:f>IF(D5="Chef","Mythic",IF(F5="Yes","Rare",IF(OR(D5="Meal",D5="Spice",D5="Environment"),"Uncommon","Common")))</x:f>
        <x:v>Uncommon</x:v>
      </x:c>
      <x:c r="H5" s="49" t="n">
        <x:v>5</x:v>
      </x:c>
      <x:c r="I5" s="49" t="n">
        <x:v>4</x:v>
      </x:c>
      <x:c r="J5" s="44" t="str">
        <x:v>Spicy</x:v>
      </x:c>
      <x:c r="K5" s="50" t="str">
        <x:v>Recipe — Spicy (sacrifice matching Ingredients)</x:v>
      </x:c>
      <x:c r="L5" s="50" t="str">
        <x:v>—</x:v>
      </x:c>
      <x:c r="M5" s="49" t="n">
        <x:v>1</x:v>
      </x:c>
      <x:c r="N5" s="49" t="n">
        <x:v>0</x:v>
      </x:c>
      <x:c r="O5" s="49" t="n">
        <x:f>IF(D5="Meal",M5,N5)</x:f>
        <x:v>1</x:v>
      </x:c>
      <x:c r="P5" s="49" t="n">
        <x:f>IF(G5="Mythic",10,IF(G5="Rare",7,IF(G5="Uncommon",4,2)))</x:f>
        <x:v>4</x:v>
      </x:c>
      <x:c r="Q5" s="50" t="str">
        <x:v>No additional effect.</x:v>
      </x:c>
      <x:c r="R5" s="50" t="str">
        <x:v>Generic recipe + unit combat</x:v>
      </x:c>
      <x:c r="S5" s="54" t="str">
        <x:v>Implemented</x:v>
      </x:c>
      <x:c r="T5" s="50" t="str">
        <x:v>data/cards.json + CookingCombatService.gd</x:v>
      </x:c>
    </x:row>
    <x:row r="6" ht="45" customHeight="1">
      <x:c r="A6" s="44" t="str">
        <x:v>Firecracker Shrimp</x:v>
      </x:c>
      <x:c r="B6" s="44" t="str"/>
      <x:c r="C6" s="44" t="str">
        <x:v>spicy_firecracker_shrimp</x:v>
      </x:c>
      <x:c r="D6" s="44" t="str">
        <x:v>Meal</x:v>
      </x:c>
      <x:c r="E6" s="44" t="str">
        <x:v>Spicy</x:v>
      </x:c>
      <x:c r="F6" s="44" t="str">
        <x:v>No</x:v>
      </x:c>
      <x:c r="G6" s="44" t="str">
        <x:f>IF(D6="Chef","Mythic",IF(F6="Yes","Rare",IF(OR(D6="Meal",D6="Spice",D6="Environment"),"Uncommon","Common")))</x:f>
        <x:v>Uncommon</x:v>
      </x:c>
      <x:c r="H6" s="49" t="n">
        <x:v>7</x:v>
      </x:c>
      <x:c r="I6" s="49" t="n">
        <x:v>5</x:v>
      </x:c>
      <x:c r="J6" s="44" t="str">
        <x:v>Spicy ×2</x:v>
      </x:c>
      <x:c r="K6" s="50" t="str">
        <x:v>Recipe — Spicy ×2 (sacrifice matching Ingredients)</x:v>
      </x:c>
      <x:c r="L6" s="50" t="str">
        <x:v>—</x:v>
      </x:c>
      <x:c r="M6" s="49" t="n">
        <x:v>2</x:v>
      </x:c>
      <x:c r="N6" s="49" t="n">
        <x:v>0</x:v>
      </x:c>
      <x:c r="O6" s="49" t="n">
        <x:f>IF(D6="Meal",M6,N6)</x:f>
        <x:v>2</x:v>
      </x:c>
      <x:c r="P6" s="49" t="n">
        <x:f>IF(G6="Mythic",10,IF(G6="Rare",7,IF(G6="Uncommon",4,2)))</x:f>
        <x:v>4</x:v>
      </x:c>
      <x:c r="Q6" s="50" t="str">
        <x:v>When this attacks, deal 2 damage to one opposing card in Prep.</x:v>
      </x:c>
      <x:c r="R6" s="50" t="str">
        <x:v>Generic recipe + unit combat | on_attack: damage_enemy_prep | on-attack resolves after combat</x:v>
      </x:c>
      <x:c r="S6" s="54" t="str">
        <x:v>Implemented</x:v>
      </x:c>
      <x:c r="T6" s="50" t="str">
        <x:v>data/cards.json + CookingCombatService.gd</x:v>
      </x:c>
    </x:row>
    <x:row r="7" ht="45" customHeight="1">
      <x:c r="A7" s="44" t="str">
        <x:v>Vindaloo Beluga</x:v>
      </x:c>
      <x:c r="B7" s="44" t="str"/>
      <x:c r="C7" s="44" t="str">
        <x:v>spicy_vindaloo_beluga</x:v>
      </x:c>
      <x:c r="D7" s="44" t="str">
        <x:v>Meal</x:v>
      </x:c>
      <x:c r="E7" s="44" t="str">
        <x:v>Spicy</x:v>
      </x:c>
      <x:c r="F7" s="44" t="str">
        <x:v>Yes</x:v>
      </x:c>
      <x:c r="G7" s="44" t="str">
        <x:f>IF(D7="Chef","Mythic",IF(F7="Yes","Rare",IF(OR(D7="Meal",D7="Spice",D7="Environment"),"Uncommon","Common")))</x:f>
        <x:v>Rare</x:v>
      </x:c>
      <x:c r="H7" s="49" t="n">
        <x:v>3</x:v>
      </x:c>
      <x:c r="I7" s="49" t="n">
        <x:v>3</x:v>
      </x:c>
      <x:c r="J7" s="44" t="str">
        <x:v>Spicy</x:v>
      </x:c>
      <x:c r="K7" s="50" t="str">
        <x:v>Recipe — Spicy (sacrifice matching Ingredients)</x:v>
      </x:c>
      <x:c r="L7" s="50" t="str">
        <x:v>Sacrifice self</x:v>
      </x:c>
      <x:c r="M7" s="49" t="n">
        <x:v>1</x:v>
      </x:c>
      <x:c r="N7" s="49" t="n">
        <x:v>0</x:v>
      </x:c>
      <x:c r="O7" s="49" t="n">
        <x:f>IF(D7="Meal",M7,N7)</x:f>
        <x:v>1</x:v>
      </x:c>
      <x:c r="P7" s="49" t="n">
        <x:f>IF(G7="Mythic",10,IF(G7="Rare",7,IF(G7="Uncommon",4,2)))</x:f>
        <x:v>7</x:v>
      </x:c>
      <x:c r="Q7" s="50" t="str">
        <x:v>Sacrifice this meal: deal 4 damage to a target opposing Plated unit.</x:v>
      </x:c>
      <x:c r="R7" s="50" t="str">
        <x:v>Generic recipe + unit combat | activated vindaloo_sacrifice: damage_enemy_plated</x:v>
      </x:c>
      <x:c r="S7" s="54" t="str">
        <x:v>Implemented</x:v>
      </x:c>
      <x:c r="T7" s="50" t="str">
        <x:v>data/cards.json + CookingCombatService.gd</x:v>
      </x:c>
    </x:row>
    <x:row r="8" ht="45" customHeight="1">
      <x:c r="A8" s="44" t="str">
        <x:v>Hot Pot Panda</x:v>
      </x:c>
      <x:c r="B8" s="44" t="str"/>
      <x:c r="C8" s="44" t="str">
        <x:v>spicy_hot_pot_panda</x:v>
      </x:c>
      <x:c r="D8" s="44" t="str">
        <x:v>Meal</x:v>
      </x:c>
      <x:c r="E8" s="44" t="str">
        <x:v>Spicy</x:v>
      </x:c>
      <x:c r="F8" s="44" t="str">
        <x:v>Yes</x:v>
      </x:c>
      <x:c r="G8" s="44" t="str">
        <x:f>IF(D8="Chef","Mythic",IF(F8="Yes","Rare",IF(OR(D8="Meal",D8="Spice",D8="Environment"),"Uncommon","Common")))</x:f>
        <x:v>Rare</x:v>
      </x:c>
      <x:c r="H8" s="49" t="n">
        <x:v>6</x:v>
      </x:c>
      <x:c r="I8" s="49" t="n">
        <x:v>6</x:v>
      </x:c>
      <x:c r="J8" s="44" t="str">
        <x:v>Spicy ×2</x:v>
      </x:c>
      <x:c r="K8" s="50" t="str">
        <x:v>Recipe — Spicy ×2 (sacrifice matching Ingredients)</x:v>
      </x:c>
      <x:c r="L8" s="50" t="str">
        <x:v>—</x:v>
      </x:c>
      <x:c r="M8" s="49" t="n">
        <x:v>2</x:v>
      </x:c>
      <x:c r="N8" s="49" t="n">
        <x:v>0</x:v>
      </x:c>
      <x:c r="O8" s="49" t="n">
        <x:f>IF(D8="Meal",M8,N8)</x:f>
        <x:v>2</x:v>
      </x:c>
      <x:c r="P8" s="49" t="n">
        <x:f>IF(G8="Mythic",10,IF(G8="Rare",7,IF(G8="Uncommon",4,2)))</x:f>
        <x:v>7</x:v>
      </x:c>
      <x:c r="Q8" s="50" t="str">
        <x:v>Whenever this is dealt damage, deal 1 damage to the opposing chef.</x:v>
      </x:c>
      <x:c r="R8" s="50" t="str">
        <x:v>Generic recipe + unit combat | on_damaged: damage_enemy_player</x:v>
      </x:c>
      <x:c r="S8" s="54" t="str">
        <x:v>Implemented</x:v>
      </x:c>
      <x:c r="T8" s="50" t="str">
        <x:v>data/cards.json + CookingCombatService.gd</x:v>
      </x:c>
    </x:row>
    <x:row r="9" ht="45" customHeight="1">
      <x:c r="A9" s="44" t="str">
        <x:v>Buffalo Wings</x:v>
      </x:c>
      <x:c r="B9" s="44" t="str">
        <x:v>Buffalo</x:v>
      </x:c>
      <x:c r="C9" s="44" t="str">
        <x:v>spicy_buffalo_wings</x:v>
      </x:c>
      <x:c r="D9" s="44" t="str">
        <x:v>Meal</x:v>
      </x:c>
      <x:c r="E9" s="44" t="str">
        <x:v>Spicy</x:v>
      </x:c>
      <x:c r="F9" s="44" t="str">
        <x:v>Yes</x:v>
      </x:c>
      <x:c r="G9" s="44" t="str">
        <x:f>IF(D9="Chef","Mythic",IF(F9="Yes","Rare",IF(OR(D9="Meal",D9="Spice",D9="Environment"),"Uncommon","Common")))</x:f>
        <x:v>Rare</x:v>
      </x:c>
      <x:c r="H9" s="49" t="n">
        <x:v>9</x:v>
      </x:c>
      <x:c r="I9" s="49" t="n">
        <x:v>6</x:v>
      </x:c>
      <x:c r="J9" s="44" t="str">
        <x:v>Spicy ×3</x:v>
      </x:c>
      <x:c r="K9" s="50" t="str">
        <x:v>Recipe — Spicy ×3 (sacrifice matching Ingredients)</x:v>
      </x:c>
      <x:c r="L9" s="50" t="str">
        <x:v>—</x:v>
      </x:c>
      <x:c r="M9" s="49" t="n">
        <x:v>3</x:v>
      </x:c>
      <x:c r="N9" s="49" t="n">
        <x:v>0</x:v>
      </x:c>
      <x:c r="O9" s="49" t="n">
        <x:f>IF(D9="Meal",M9,N9)</x:f>
        <x:v>3</x:v>
      </x:c>
      <x:c r="P9" s="49" t="n">
        <x:f>IF(G9="Mythic",10,IF(G9="Rare",7,IF(G9="Uncommon",4,2)))</x:f>
        <x:v>7</x:v>
      </x:c>
      <x:c r="Q9" s="50" t="str">
        <x:v>When served, deal 1 damage to all enemies.</x:v>
      </x:c>
      <x:c r="R9" s="50" t="str">
        <x:v>Generic recipe + unit combat | on_play: damage_all_enemy_units</x:v>
      </x:c>
      <x:c r="S9" s="54" t="str">
        <x:v>Implemented</x:v>
      </x:c>
      <x:c r="T9" s="50" t="str">
        <x:v>data/cards.json + CookingCombatService.gd</x:v>
      </x:c>
    </x:row>
    <x:row r="10" ht="45" customHeight="1">
      <x:c r="A10" s="44" t="str">
        <x:v>Dumpling-Backed Tortoise</x:v>
      </x:c>
      <x:c r="B10" s="44" t="str"/>
      <x:c r="C10" s="44" t="str">
        <x:v>hearty_dumpling_tortoise</x:v>
      </x:c>
      <x:c r="D10" s="44" t="str">
        <x:v>Meal</x:v>
      </x:c>
      <x:c r="E10" s="44" t="str">
        <x:v>Hearty</x:v>
      </x:c>
      <x:c r="F10" s="44" t="str">
        <x:v>No</x:v>
      </x:c>
      <x:c r="G10" s="44" t="str">
        <x:f>IF(D10="Chef","Mythic",IF(F10="Yes","Rare",IF(OR(D10="Meal",D10="Spice",D10="Environment"),"Uncommon","Common")))</x:f>
        <x:v>Uncommon</x:v>
      </x:c>
      <x:c r="H10" s="49" t="n">
        <x:v>4</x:v>
      </x:c>
      <x:c r="I10" s="49" t="n">
        <x:v>5</x:v>
      </x:c>
      <x:c r="J10" s="44" t="str">
        <x:v>Hearty</x:v>
      </x:c>
      <x:c r="K10" s="50" t="str">
        <x:v>Recipe — Hearty (sacrifice matching Ingredients)</x:v>
      </x:c>
      <x:c r="L10" s="50" t="str">
        <x:v>—</x:v>
      </x:c>
      <x:c r="M10" s="49" t="n">
        <x:v>1</x:v>
      </x:c>
      <x:c r="N10" s="49" t="n">
        <x:v>0</x:v>
      </x:c>
      <x:c r="O10" s="49" t="n">
        <x:f>IF(D10="Meal",M10,N10)</x:f>
        <x:v>1</x:v>
      </x:c>
      <x:c r="P10" s="49" t="n">
        <x:f>IF(G10="Mythic",10,IF(G10="Rare",7,IF(G10="Uncommon",4,2)))</x:f>
        <x:v>4</x:v>
      </x:c>
      <x:c r="Q10" s="50" t="str">
        <x:v>No additional effect.</x:v>
      </x:c>
      <x:c r="R10" s="50" t="str">
        <x:v>Generic recipe + unit combat</x:v>
      </x:c>
      <x:c r="S10" s="54" t="str">
        <x:v>Implemented</x:v>
      </x:c>
      <x:c r="T10" s="50" t="str">
        <x:v>data/cards.json + CookingCombatService.gd</x:v>
      </x:c>
    </x:row>
    <x:row r="11" ht="45" customHeight="1">
      <x:c r="A11" s="44" t="str">
        <x:v>Stewoose</x:v>
      </x:c>
      <x:c r="B11" s="44" t="str">
        <x:v>Stew Moose</x:v>
      </x:c>
      <x:c r="C11" s="44" t="str">
        <x:v>hearty_stewoose</x:v>
      </x:c>
      <x:c r="D11" s="44" t="str">
        <x:v>Meal</x:v>
      </x:c>
      <x:c r="E11" s="44" t="str">
        <x:v>Hearty</x:v>
      </x:c>
      <x:c r="F11" s="44" t="str">
        <x:v>No</x:v>
      </x:c>
      <x:c r="G11" s="44" t="str">
        <x:f>IF(D11="Chef","Mythic",IF(F11="Yes","Rare",IF(OR(D11="Meal",D11="Spice",D11="Environment"),"Uncommon","Common")))</x:f>
        <x:v>Uncommon</x:v>
      </x:c>
      <x:c r="H11" s="49" t="n">
        <x:v>4</x:v>
      </x:c>
      <x:c r="I11" s="49" t="n">
        <x:v>8</x:v>
      </x:c>
      <x:c r="J11" s="44" t="str">
        <x:v>Hearty ×2</x:v>
      </x:c>
      <x:c r="K11" s="50" t="str">
        <x:v>Recipe — Hearty ×2 (sacrifice matching Ingredients)</x:v>
      </x:c>
      <x:c r="L11" s="50" t="str">
        <x:v>—</x:v>
      </x:c>
      <x:c r="M11" s="49" t="n">
        <x:v>2</x:v>
      </x:c>
      <x:c r="N11" s="49" t="n">
        <x:v>0</x:v>
      </x:c>
      <x:c r="O11" s="49" t="n">
        <x:f>IF(D11="Meal",M11,N11)</x:f>
        <x:v>2</x:v>
      </x:c>
      <x:c r="P11" s="49" t="n">
        <x:f>IF(G11="Mythic",10,IF(G11="Rare",7,IF(G11="Uncommon",4,2)))</x:f>
        <x:v>4</x:v>
      </x:c>
      <x:c r="Q11" s="50" t="str">
        <x:v>When served, heal your chef for 2.</x:v>
      </x:c>
      <x:c r="R11" s="50" t="str">
        <x:v>Generic recipe + unit combat | on_play: heal_player</x:v>
      </x:c>
      <x:c r="S11" s="54" t="str">
        <x:v>Implemented</x:v>
      </x:c>
      <x:c r="T11" s="50" t="str">
        <x:v>data/cards.json + CookingCombatService.gd</x:v>
      </x:c>
    </x:row>
    <x:row r="12" ht="45" customHeight="1">
      <x:c r="A12" s="44" t="str">
        <x:v>Bison Burrito</x:v>
      </x:c>
      <x:c r="B12" s="44" t="str">
        <x:v>Burrito Bison</x:v>
      </x:c>
      <x:c r="C12" s="44" t="str">
        <x:v>hearty_bison_burrito</x:v>
      </x:c>
      <x:c r="D12" s="44" t="str">
        <x:v>Meal</x:v>
      </x:c>
      <x:c r="E12" s="44" t="str">
        <x:v>Hearty</x:v>
      </x:c>
      <x:c r="F12" s="44" t="str">
        <x:v>Yes</x:v>
      </x:c>
      <x:c r="G12" s="44" t="str">
        <x:f>IF(D12="Chef","Mythic",IF(F12="Yes","Rare",IF(OR(D12="Meal",D12="Spice",D12="Environment"),"Uncommon","Common")))</x:f>
        <x:v>Rare</x:v>
      </x:c>
      <x:c r="H12" s="49" t="n">
        <x:v>3</x:v>
      </x:c>
      <x:c r="I12" s="49" t="n">
        <x:v>3</x:v>
      </x:c>
      <x:c r="J12" s="44" t="str">
        <x:v>Hearty</x:v>
      </x:c>
      <x:c r="K12" s="50" t="str">
        <x:v>Recipe — Hearty (sacrifice matching Ingredients)</x:v>
      </x:c>
      <x:c r="L12" s="50" t="str">
        <x:v>—</x:v>
      </x:c>
      <x:c r="M12" s="49" t="n">
        <x:v>1</x:v>
      </x:c>
      <x:c r="N12" s="49" t="n">
        <x:v>0</x:v>
      </x:c>
      <x:c r="O12" s="49" t="n">
        <x:f>IF(D12="Meal",M12,N12)</x:f>
        <x:v>1</x:v>
      </x:c>
      <x:c r="P12" s="49" t="n">
        <x:f>IF(G12="Mythic",10,IF(G12="Rare",7,IF(G12="Uncommon",4,2)))</x:f>
        <x:v>7</x:v>
      </x:c>
      <x:c r="Q12" s="50" t="str">
        <x:v>While this is in Prep, your Plated units get +1/+1.</x:v>
      </x:c>
      <x:c r="R12" s="50" t="str">
        <x:v>Generic recipe + unit combat | aura prep → friendly_plated: +1 ATK, +1 HP</x:v>
      </x:c>
      <x:c r="S12" s="54" t="str">
        <x:v>Implemented</x:v>
      </x:c>
      <x:c r="T12" s="50" t="str">
        <x:v>data/cards.json + CookingCombatService.gd</x:v>
      </x:c>
    </x:row>
    <x:row r="13" ht="45" customHeight="1">
      <x:c r="A13" s="44" t="str">
        <x:v>Mastiff Potato</x:v>
      </x:c>
      <x:c r="B13" s="44" t="str">
        <x:v>Mastiff Mashed Potato</x:v>
      </x:c>
      <x:c r="C13" s="44" t="str">
        <x:v>hearty_mastiff_potato</x:v>
      </x:c>
      <x:c r="D13" s="44" t="str">
        <x:v>Meal</x:v>
      </x:c>
      <x:c r="E13" s="44" t="str">
        <x:v>Hearty</x:v>
      </x:c>
      <x:c r="F13" s="44" t="str">
        <x:v>Yes</x:v>
      </x:c>
      <x:c r="G13" s="44" t="str">
        <x:f>IF(D13="Chef","Mythic",IF(F13="Yes","Rare",IF(OR(D13="Meal",D13="Spice",D13="Environment"),"Uncommon","Common")))</x:f>
        <x:v>Rare</x:v>
      </x:c>
      <x:c r="H13" s="49" t="n">
        <x:v>4</x:v>
      </x:c>
      <x:c r="I13" s="49" t="n">
        <x:v>6</x:v>
      </x:c>
      <x:c r="J13" s="44" t="str">
        <x:v>Hearty + Any</x:v>
      </x:c>
      <x:c r="K13" s="50" t="str">
        <x:v>Recipe — Hearty + Any (sacrifice matching Ingredients)</x:v>
      </x:c>
      <x:c r="L13" s="50" t="str">
        <x:v>—</x:v>
      </x:c>
      <x:c r="M13" s="49" t="n">
        <x:v>2</x:v>
      </x:c>
      <x:c r="N13" s="49" t="n">
        <x:v>0</x:v>
      </x:c>
      <x:c r="O13" s="49" t="n">
        <x:f>IF(D13="Meal",M13,N13)</x:f>
        <x:v>2</x:v>
      </x:c>
      <x:c r="P13" s="49" t="n">
        <x:f>IF(G13="Mythic",10,IF(G13="Rare",7,IF(G13="Uncommon",4,2)))</x:f>
        <x:v>7</x:v>
      </x:c>
      <x:c r="Q13" s="50" t="str">
        <x:v>The first time this moves from Prep to Plated, it gets +2/+2.</x:v>
      </x:c>
      <x:c r="R13" s="50" t="str">
        <x:v>Generic recipe + unit combat | on_move_to_plated: buff_self</x:v>
      </x:c>
      <x:c r="S13" s="54" t="str">
        <x:v>Implemented</x:v>
      </x:c>
      <x:c r="T13" s="50" t="str">
        <x:v>data/cards.json + CookingCombatService.gd</x:v>
      </x:c>
    </x:row>
    <x:row r="14" ht="45" customHeight="1">
      <x:c r="A14" s="44" t="str">
        <x:v>Polar Pot Pie Bear</x:v>
      </x:c>
      <x:c r="B14" s="44" t="str">
        <x:v>Pot Pie Polar Bear</x:v>
      </x:c>
      <x:c r="C14" s="44" t="str">
        <x:v>hearty_polar_pot_pie_bear</x:v>
      </x:c>
      <x:c r="D14" s="44" t="str">
        <x:v>Meal</x:v>
      </x:c>
      <x:c r="E14" s="44" t="str">
        <x:v>Hearty</x:v>
      </x:c>
      <x:c r="F14" s="44" t="str">
        <x:v>Yes</x:v>
      </x:c>
      <x:c r="G14" s="44" t="str">
        <x:f>IF(D14="Chef","Mythic",IF(F14="Yes","Rare",IF(OR(D14="Meal",D14="Spice",D14="Environment"),"Uncommon","Common")))</x:f>
        <x:v>Rare</x:v>
      </x:c>
      <x:c r="H14" s="49" t="n">
        <x:v>8</x:v>
      </x:c>
      <x:c r="I14" s="49" t="n">
        <x:v>8</x:v>
      </x:c>
      <x:c r="J14" s="44" t="str">
        <x:v>Hearty ×3</x:v>
      </x:c>
      <x:c r="K14" s="50" t="str">
        <x:v>Recipe — Hearty ×3 (sacrifice matching Ingredients)</x:v>
      </x:c>
      <x:c r="L14" s="50" t="str">
        <x:v>—</x:v>
      </x:c>
      <x:c r="M14" s="49" t="n">
        <x:v>3</x:v>
      </x:c>
      <x:c r="N14" s="49" t="n">
        <x:v>0</x:v>
      </x:c>
      <x:c r="O14" s="49" t="n">
        <x:f>IF(D14="Meal",M14,N14)</x:f>
        <x:v>3</x:v>
      </x:c>
      <x:c r="P14" s="49" t="n">
        <x:f>IF(G14="Mythic",10,IF(G14="Rare",7,IF(G14="Uncommon",4,2)))</x:f>
        <x:v>7</x:v>
      </x:c>
      <x:c r="Q14" s="50" t="str">
        <x:v>While Plated, once per turn heal 1 damage from each other friendly unit.</x:v>
      </x:c>
      <x:c r="R14" s="50" t="str">
        <x:v>Generic recipe + unit combat | activated pot_pie_heal: heal_all_friendly_units</x:v>
      </x:c>
      <x:c r="S14" s="54" t="str">
        <x:v>Implemented</x:v>
      </x:c>
      <x:c r="T14" s="50" t="str">
        <x:v>data/cards.json + CookingCombatService.gd</x:v>
      </x:c>
    </x:row>
    <x:row r="15" ht="45" customHeight="1">
      <x:c r="A15" s="44" t="str">
        <x:v>Pup Tart</x:v>
      </x:c>
      <x:c r="B15" s="44" t="str"/>
      <x:c r="C15" s="44" t="str">
        <x:v>sweet_pup_tart</x:v>
      </x:c>
      <x:c r="D15" s="44" t="str">
        <x:v>Meal</x:v>
      </x:c>
      <x:c r="E15" s="44" t="str">
        <x:v>Sweet</x:v>
      </x:c>
      <x:c r="F15" s="44" t="str">
        <x:v>No</x:v>
      </x:c>
      <x:c r="G15" s="44" t="str">
        <x:f>IF(D15="Chef","Mythic",IF(F15="Yes","Rare",IF(OR(D15="Meal",D15="Spice",D15="Environment"),"Uncommon","Common")))</x:f>
        <x:v>Uncommon</x:v>
      </x:c>
      <x:c r="H15" s="49" t="n">
        <x:v>4</x:v>
      </x:c>
      <x:c r="I15" s="49" t="n">
        <x:v>5</x:v>
      </x:c>
      <x:c r="J15" s="44" t="str">
        <x:v>Sweet</x:v>
      </x:c>
      <x:c r="K15" s="50" t="str">
        <x:v>Recipe — Sweet (sacrifice matching Ingredients)</x:v>
      </x:c>
      <x:c r="L15" s="50" t="str">
        <x:v>—</x:v>
      </x:c>
      <x:c r="M15" s="49" t="n">
        <x:v>1</x:v>
      </x:c>
      <x:c r="N15" s="49" t="n">
        <x:v>0</x:v>
      </x:c>
      <x:c r="O15" s="49" t="n">
        <x:f>IF(D15="Meal",M15,N15)</x:f>
        <x:v>1</x:v>
      </x:c>
      <x:c r="P15" s="49" t="n">
        <x:f>IF(G15="Mythic",10,IF(G15="Rare",7,IF(G15="Uncommon",4,2)))</x:f>
        <x:v>4</x:v>
      </x:c>
      <x:c r="Q15" s="50" t="str">
        <x:v>No additional effect.</x:v>
      </x:c>
      <x:c r="R15" s="50" t="str">
        <x:v>Generic recipe + unit combat</x:v>
      </x:c>
      <x:c r="S15" s="54" t="str">
        <x:v>Implemented</x:v>
      </x:c>
      <x:c r="T15" s="50" t="str">
        <x:v>data/cards.json + CookingCombatService.gd</x:v>
      </x:c>
    </x:row>
    <x:row r="16" ht="45" customHeight="1">
      <x:c r="A16" s="44" t="str">
        <x:v>Strawberry Sharkcake</x:v>
      </x:c>
      <x:c r="B16" s="44" t="str">
        <x:v>Shortcake Shark</x:v>
      </x:c>
      <x:c r="C16" s="44" t="str">
        <x:v>sweet_strawberry_sharkcake</x:v>
      </x:c>
      <x:c r="D16" s="44" t="str">
        <x:v>Meal</x:v>
      </x:c>
      <x:c r="E16" s="44" t="str">
        <x:v>Sweet</x:v>
      </x:c>
      <x:c r="F16" s="44" t="str">
        <x:v>No</x:v>
      </x:c>
      <x:c r="G16" s="44" t="str">
        <x:f>IF(D16="Chef","Mythic",IF(F16="Yes","Rare",IF(OR(D16="Meal",D16="Spice",D16="Environment"),"Uncommon","Common")))</x:f>
        <x:v>Uncommon</x:v>
      </x:c>
      <x:c r="H16" s="49" t="n">
        <x:v>5</x:v>
      </x:c>
      <x:c r="I16" s="49" t="n">
        <x:v>6</x:v>
      </x:c>
      <x:c r="J16" s="44" t="str">
        <x:v>Sweet ×2</x:v>
      </x:c>
      <x:c r="K16" s="50" t="str">
        <x:v>Recipe — Sweet ×2 (sacrifice matching Ingredients)</x:v>
      </x:c>
      <x:c r="L16" s="50" t="str">
        <x:v>—</x:v>
      </x:c>
      <x:c r="M16" s="49" t="n">
        <x:v>2</x:v>
      </x:c>
      <x:c r="N16" s="49" t="n">
        <x:v>0</x:v>
      </x:c>
      <x:c r="O16" s="49" t="n">
        <x:f>IF(D16="Meal",M16,N16)</x:f>
        <x:v>2</x:v>
      </x:c>
      <x:c r="P16" s="49" t="n">
        <x:f>IF(G16="Mythic",10,IF(G16="Rare",7,IF(G16="Uncommon",4,2)))</x:f>
        <x:v>4</x:v>
      </x:c>
      <x:c r="Q16" s="50" t="str">
        <x:v>When served, draw 2 cards.</x:v>
      </x:c>
      <x:c r="R16" s="50" t="str">
        <x:v>Generic recipe + unit combat | on_play: draw</x:v>
      </x:c>
      <x:c r="S16" s="54" t="str">
        <x:v>Implemented</x:v>
      </x:c>
      <x:c r="T16" s="50" t="str">
        <x:v>data/cards.json + CookingCombatService.gd</x:v>
      </x:c>
    </x:row>
    <x:row r="17" ht="45" customHeight="1">
      <x:c r="A17" s="44" t="str">
        <x:v>Donutphin</x:v>
      </x:c>
      <x:c r="B17" s="44" t="str">
        <x:v>Donut Dolphin</x:v>
      </x:c>
      <x:c r="C17" s="44" t="str">
        <x:v>sweet_donutphin</x:v>
      </x:c>
      <x:c r="D17" s="44" t="str">
        <x:v>Meal</x:v>
      </x:c>
      <x:c r="E17" s="44" t="str">
        <x:v>Sweet</x:v>
      </x:c>
      <x:c r="F17" s="44" t="str">
        <x:v>Yes</x:v>
      </x:c>
      <x:c r="G17" s="44" t="str">
        <x:f>IF(D17="Chef","Mythic",IF(F17="Yes","Rare",IF(OR(D17="Meal",D17="Spice",D17="Environment"),"Uncommon","Common")))</x:f>
        <x:v>Rare</x:v>
      </x:c>
      <x:c r="H17" s="49" t="n">
        <x:v>3</x:v>
      </x:c>
      <x:c r="I17" s="49" t="n">
        <x:v>4</x:v>
      </x:c>
      <x:c r="J17" s="44" t="str">
        <x:v>Sweet</x:v>
      </x:c>
      <x:c r="K17" s="50" t="str">
        <x:v>Recipe — Sweet (sacrifice matching Ingredients)</x:v>
      </x:c>
      <x:c r="L17" s="50" t="str">
        <x:v>—</x:v>
      </x:c>
      <x:c r="M17" s="49" t="n">
        <x:v>1</x:v>
      </x:c>
      <x:c r="N17" s="49" t="n">
        <x:v>0</x:v>
      </x:c>
      <x:c r="O17" s="49" t="n">
        <x:f>IF(D17="Meal",M17,N17)</x:f>
        <x:v>1</x:v>
      </x:c>
      <x:c r="P17" s="49" t="n">
        <x:f>IF(G17="Mythic",10,IF(G17="Rare",7,IF(G17="Uncommon",4,2)))</x:f>
        <x:v>7</x:v>
      </x:c>
      <x:c r="Q17" s="50" t="str">
        <x:v>When this deals combat damage to the opposing chef, they cannot use a Chef next turn.</x:v>
      </x:c>
      <x:c r="R17" s="50" t="str">
        <x:v>Generic recipe + unit combat | on_combat_damage_to_chef: disable_enemy_chefs_next_turn</x:v>
      </x:c>
      <x:c r="S17" s="54" t="str">
        <x:v>Implemented</x:v>
      </x:c>
      <x:c r="T17" s="50" t="str">
        <x:v>data/cards.json + CookingCombatService.gd</x:v>
      </x:c>
    </x:row>
    <x:row r="18" ht="45" customHeight="1">
      <x:c r="A18" s="44" t="str">
        <x:v>Pandacake</x:v>
      </x:c>
      <x:c r="B18" s="44" t="str">
        <x:v>Pancake Panda</x:v>
      </x:c>
      <x:c r="C18" s="44" t="str">
        <x:v>sweet_pandacake</x:v>
      </x:c>
      <x:c r="D18" s="44" t="str">
        <x:v>Meal</x:v>
      </x:c>
      <x:c r="E18" s="44" t="str">
        <x:v>Sweet</x:v>
      </x:c>
      <x:c r="F18" s="44" t="str">
        <x:v>Yes</x:v>
      </x:c>
      <x:c r="G18" s="44" t="str">
        <x:f>IF(D18="Chef","Mythic",IF(F18="Yes","Rare",IF(OR(D18="Meal",D18="Spice",D18="Environment"),"Uncommon","Common")))</x:f>
        <x:v>Rare</x:v>
      </x:c>
      <x:c r="H18" s="49" t="n">
        <x:v>5</x:v>
      </x:c>
      <x:c r="I18" s="49" t="n">
        <x:v>6</x:v>
      </x:c>
      <x:c r="J18" s="44" t="str">
        <x:v>Sweet ×2</x:v>
      </x:c>
      <x:c r="K18" s="50" t="str">
        <x:v>Recipe — Sweet ×2 (sacrifice matching Ingredients)</x:v>
      </x:c>
      <x:c r="L18" s="50" t="str">
        <x:v>—</x:v>
      </x:c>
      <x:c r="M18" s="49" t="n">
        <x:v>2</x:v>
      </x:c>
      <x:c r="N18" s="49" t="n">
        <x:v>0</x:v>
      </x:c>
      <x:c r="O18" s="49" t="n">
        <x:f>IF(D18="Meal",M18,N18)</x:f>
        <x:v>2</x:v>
      </x:c>
      <x:c r="P18" s="49" t="n">
        <x:f>IF(G18="Mythic",10,IF(G18="Rare",7,IF(G18="Uncommon",4,2)))</x:f>
        <x:v>7</x:v>
      </x:c>
      <x:c r="Q18" s="50" t="str">
        <x:v>While this is in Prep, your other Plated units have +2 Health.</x:v>
      </x:c>
      <x:c r="R18" s="50" t="str">
        <x:v>Generic recipe + unit combat | aura prep → other_friendly_plated: +2 HP</x:v>
      </x:c>
      <x:c r="S18" s="54" t="str">
        <x:v>Implemented</x:v>
      </x:c>
      <x:c r="T18" s="50" t="str">
        <x:v>data/cards.json + CookingCombatService.gd</x:v>
      </x:c>
    </x:row>
    <x:row r="19" ht="45" customHeight="1">
      <x:c r="A19" s="44" t="str">
        <x:v>Cinnamon Snail</x:v>
      </x:c>
      <x:c r="B19" s="44" t="str">
        <x:v>Cinnamon Roll Snail</x:v>
      </x:c>
      <x:c r="C19" s="44" t="str">
        <x:v>sweet_cinnamon_snail</x:v>
      </x:c>
      <x:c r="D19" s="44" t="str">
        <x:v>Meal</x:v>
      </x:c>
      <x:c r="E19" s="44" t="str">
        <x:v>Sweet</x:v>
      </x:c>
      <x:c r="F19" s="44" t="str">
        <x:v>Yes</x:v>
      </x:c>
      <x:c r="G19" s="44" t="str">
        <x:f>IF(D19="Chef","Mythic",IF(F19="Yes","Rare",IF(OR(D19="Meal",D19="Spice",D19="Environment"),"Uncommon","Common")))</x:f>
        <x:v>Rare</x:v>
      </x:c>
      <x:c r="H19" s="49" t="n">
        <x:v>4</x:v>
      </x:c>
      <x:c r="I19" s="49" t="n">
        <x:v>6</x:v>
      </x:c>
      <x:c r="J19" s="44" t="str">
        <x:v>Sweet ×2</x:v>
      </x:c>
      <x:c r="K19" s="50" t="str">
        <x:v>Recipe — Sweet ×2 (sacrifice matching Ingredients)</x:v>
      </x:c>
      <x:c r="L19" s="50" t="str">
        <x:v>—</x:v>
      </x:c>
      <x:c r="M19" s="49" t="n">
        <x:v>2</x:v>
      </x:c>
      <x:c r="N19" s="49" t="n">
        <x:v>0</x:v>
      </x:c>
      <x:c r="O19" s="49" t="n">
        <x:f>IF(D19="Meal",M19,N19)</x:f>
        <x:v>2</x:v>
      </x:c>
      <x:c r="P19" s="49" t="n">
        <x:f>IF(G19="Mythic",10,IF(G19="Rare",7,IF(G19="Uncommon",4,2)))</x:f>
        <x:v>7</x:v>
      </x:c>
      <x:c r="Q19" s="50" t="str">
        <x:v>While this is Plated, opposing Meals require 1 additional Ingredient and opposing healing is reduced by 2.</x:v>
      </x:c>
      <x:c r="R19" s="50" t="str">
        <x:v>Generic recipe + unit combat | aura plated → opponent_meal_recipes: +1 recipe slot | opponent healing −2</x:v>
      </x:c>
      <x:c r="S19" s="54" t="str">
        <x:v>Implemented</x:v>
      </x:c>
      <x:c r="T19" s="50" t="str">
        <x:v>data/cards.json + CookingCombatService.gd</x:v>
      </x:c>
    </x:row>
    <x:row r="20" ht="45" customHeight="1">
      <x:c r="A20" s="44" t="str">
        <x:v>Parfait Parrot</x:v>
      </x:c>
      <x:c r="B20" s="44" t="str"/>
      <x:c r="C20" s="44" t="str">
        <x:v>sweet_parfait_parrot</x:v>
      </x:c>
      <x:c r="D20" s="44" t="str">
        <x:v>Meal</x:v>
      </x:c>
      <x:c r="E20" s="44" t="str">
        <x:v>Sweet</x:v>
      </x:c>
      <x:c r="F20" s="44" t="str">
        <x:v>Yes</x:v>
      </x:c>
      <x:c r="G20" s="44" t="str">
        <x:f>IF(D20="Chef","Mythic",IF(F20="Yes","Rare",IF(OR(D20="Meal",D20="Spice",D20="Environment"),"Uncommon","Common")))</x:f>
        <x:v>Rare</x:v>
      </x:c>
      <x:c r="H20" s="49" t="n">
        <x:v>4</x:v>
      </x:c>
      <x:c r="I20" s="49" t="n">
        <x:v>5</x:v>
      </x:c>
      <x:c r="J20" s="44" t="str">
        <x:v>Sweet ×2</x:v>
      </x:c>
      <x:c r="K20" s="50" t="str">
        <x:v>Recipe — Sweet ×2 (sacrifice matching Ingredients)</x:v>
      </x:c>
      <x:c r="L20" s="50" t="str">
        <x:v>—</x:v>
      </x:c>
      <x:c r="M20" s="49" t="n">
        <x:v>2</x:v>
      </x:c>
      <x:c r="N20" s="49" t="n">
        <x:v>0</x:v>
      </x:c>
      <x:c r="O20" s="49" t="n">
        <x:f>IF(D20="Meal",M20,N20)</x:f>
        <x:v>2</x:v>
      </x:c>
      <x:c r="P20" s="49" t="n">
        <x:f>IF(G20="Mythic",10,IF(G20="Rare",7,IF(G20="Uncommon",4,2)))</x:f>
        <x:v>7</x:v>
      </x:c>
      <x:c r="Q20" s="50" t="str">
        <x:v>At the end of your turn, if this is Plated, draw 1 card.</x:v>
      </x:c>
      <x:c r="R20" s="50" t="str">
        <x:v>Generic recipe + unit combat | on_end_turn: draw | end_turn_zone: plated</x:v>
      </x:c>
      <x:c r="S20" s="54" t="str">
        <x:v>Implemented</x:v>
      </x:c>
      <x:c r="T20" s="50" t="str">
        <x:v>data/cards.json + CookingCombatService.gd</x:v>
      </x:c>
    </x:row>
    <x:row r="21" ht="45" customHeight="1">
      <x:c r="A21" s="44" t="str">
        <x:v>Gravy Gazelle</x:v>
      </x:c>
      <x:c r="B21" s="44" t="str"/>
      <x:c r="C21" s="44" t="str">
        <x:v>hearty_gravy_gazelle</x:v>
      </x:c>
      <x:c r="D21" s="44" t="str">
        <x:v>Meal</x:v>
      </x:c>
      <x:c r="E21" s="44" t="str">
        <x:v>Hearty</x:v>
      </x:c>
      <x:c r="F21" s="44" t="str">
        <x:v>No</x:v>
      </x:c>
      <x:c r="G21" s="44" t="str">
        <x:f>IF(D21="Chef","Mythic",IF(F21="Yes","Rare",IF(OR(D21="Meal",D21="Spice",D21="Environment"),"Uncommon","Common")))</x:f>
        <x:v>Uncommon</x:v>
      </x:c>
      <x:c r="H21" s="49" t="n">
        <x:v>3</x:v>
      </x:c>
      <x:c r="I21" s="49" t="n">
        <x:v>5</x:v>
      </x:c>
      <x:c r="J21" s="44" t="str">
        <x:v>Hearty</x:v>
      </x:c>
      <x:c r="K21" s="50" t="str">
        <x:v>Recipe — Hearty (sacrifice matching Ingredients)</x:v>
      </x:c>
      <x:c r="L21" s="50" t="str">
        <x:v>—</x:v>
      </x:c>
      <x:c r="M21" s="49" t="n">
        <x:v>1</x:v>
      </x:c>
      <x:c r="N21" s="49" t="n">
        <x:v>0</x:v>
      </x:c>
      <x:c r="O21" s="49" t="n">
        <x:f>IF(D21="Meal",M21,N21)</x:f>
        <x:v>1</x:v>
      </x:c>
      <x:c r="P21" s="49" t="n">
        <x:f>IF(G21="Mythic",10,IF(G21="Rare",7,IF(G21="Uncommon",4,2)))</x:f>
        <x:v>4</x:v>
      </x:c>
      <x:c r="Q21" s="50" t="str">
        <x:v>While Plated, once per turn give a friendly Plated unit +1/+1.</x:v>
      </x:c>
      <x:c r="R21" s="50" t="str">
        <x:v>Generic recipe + unit combat | activated gravy_gazelle_buff: buff_friendly_unit</x:v>
      </x:c>
      <x:c r="S21" s="54" t="str">
        <x:v>Implemented</x:v>
      </x:c>
      <x:c r="T21" s="50" t="str">
        <x:v>data/cards.json + CookingCombatService.gd</x:v>
      </x:c>
    </x:row>
    <x:row r="22" ht="45" customHeight="1">
      <x:c r="A22" s="44" t="str">
        <x:v>Harvest Hydra</x:v>
      </x:c>
      <x:c r="B22" s="44" t="str"/>
      <x:c r="C22" s="44" t="str">
        <x:v>fresh_harvest_hydra</x:v>
      </x:c>
      <x:c r="D22" s="44" t="str">
        <x:v>Meal</x:v>
      </x:c>
      <x:c r="E22" s="44" t="str">
        <x:v>Fresh</x:v>
      </x:c>
      <x:c r="F22" s="44" t="str">
        <x:v>Yes</x:v>
      </x:c>
      <x:c r="G22" s="44" t="str">
        <x:f>IF(D22="Chef","Mythic",IF(F22="Yes","Rare",IF(OR(D22="Meal",D22="Spice",D22="Environment"),"Uncommon","Common")))</x:f>
        <x:v>Rare</x:v>
      </x:c>
      <x:c r="H22" s="49" t="n">
        <x:v>2</x:v>
      </x:c>
      <x:c r="I22" s="49" t="n">
        <x:v>2</x:v>
      </x:c>
      <x:c r="J22" s="44" t="str">
        <x:v>Fresh</x:v>
      </x:c>
      <x:c r="K22" s="50" t="str">
        <x:v>Recipe — Fresh (sacrifice matching Ingredients); plus sacrifice 1 Fresh Meal</x:v>
      </x:c>
      <x:c r="L22" s="50" t="str">
        <x:v>—</x:v>
      </x:c>
      <x:c r="M22" s="49" t="n">
        <x:v>1</x:v>
      </x:c>
      <x:c r="N22" s="49" t="n">
        <x:v>0</x:v>
      </x:c>
      <x:c r="O22" s="49" t="n">
        <x:f>IF(D22="Meal",M22,N22)</x:f>
        <x:v>1</x:v>
      </x:c>
      <x:c r="P22" s="49" t="n">
        <x:f>IF(G22="Mythic",10,IF(G22="Rare",7,IF(G22="Uncommon",4,2)))</x:f>
        <x:v>7</x:v>
      </x:c>
      <x:c r="Q22" s="50" t="str">
        <x:v>To serve this, also sacrifice a Fresh Meal. When served, sacrifice all your other units; this gains their combined Attack and maximum Health, including the units used to serve it.</x:v>
      </x:c>
      <x:c r="R22" s="50" t="str">
        <x:v>Generic recipe + unit combat | on_play: absorb_all_friendly_units | required_meal_archetype: fresh</x:v>
      </x:c>
      <x:c r="S22" s="54" t="str">
        <x:v>Implemented</x:v>
      </x:c>
      <x:c r="T22" s="50" t="str">
        <x:v>data/cards.json + CookingCombatService.gd</x:v>
      </x:c>
    </x:row>
    <x:row r="23" ht="45" customHeight="1">
      <x:c r="A23" s="44" t="str">
        <x:v>Garden Gorilla</x:v>
      </x:c>
      <x:c r="B23" s="44" t="str"/>
      <x:c r="C23" s="44" t="str">
        <x:v>fresh_garden_gorilla</x:v>
      </x:c>
      <x:c r="D23" s="44" t="str">
        <x:v>Meal</x:v>
      </x:c>
      <x:c r="E23" s="44" t="str">
        <x:v>Fresh</x:v>
      </x:c>
      <x:c r="F23" s="44" t="str">
        <x:v>No</x:v>
      </x:c>
      <x:c r="G23" s="44" t="str">
        <x:f>IF(D23="Chef","Mythic",IF(F23="Yes","Rare",IF(OR(D23="Meal",D23="Spice",D23="Environment"),"Uncommon","Common")))</x:f>
        <x:v>Uncommon</x:v>
      </x:c>
      <x:c r="H23" s="49" t="n">
        <x:v>3</x:v>
      </x:c>
      <x:c r="I23" s="49" t="n">
        <x:v>5</x:v>
      </x:c>
      <x:c r="J23" s="44" t="str">
        <x:v>Fresh ×2</x:v>
      </x:c>
      <x:c r="K23" s="50" t="str">
        <x:v>Recipe — Fresh ×2 (sacrifice matching Ingredients)</x:v>
      </x:c>
      <x:c r="L23" s="50" t="str">
        <x:v>—</x:v>
      </x:c>
      <x:c r="M23" s="49" t="n">
        <x:v>2</x:v>
      </x:c>
      <x:c r="N23" s="49" t="n">
        <x:v>0</x:v>
      </x:c>
      <x:c r="O23" s="49" t="n">
        <x:f>IF(D23="Meal",M23,N23)</x:f>
        <x:v>2</x:v>
      </x:c>
      <x:c r="P23" s="49" t="n">
        <x:f>IF(G23="Mythic",10,IF(G23="Rare",7,IF(G23="Uncommon",4,2)))</x:f>
        <x:v>4</x:v>
      </x:c>
      <x:c r="Q23" s="50" t="str">
        <x:v>This gets +2 Attack for each other Fresh unit in your Prep area.</x:v>
      </x:c>
      <x:c r="R23" s="50" t="str">
        <x:v>Generic recipe + unit combat | self ATK +2 per other Fresh Prep unit</x:v>
      </x:c>
      <x:c r="S23" s="54" t="str">
        <x:v>Implemented</x:v>
      </x:c>
      <x:c r="T23" s="50" t="str">
        <x:v>data/cards.json + CookingCombatService.gd</x:v>
      </x:c>
    </x:row>
    <x:row r="24" ht="45" customHeight="1">
      <x:c r="A24" s="44" t="str">
        <x:v>Saladmander</x:v>
      </x:c>
      <x:c r="B24" s="44" t="str">
        <x:v>Salad Salamander</x:v>
      </x:c>
      <x:c r="C24" s="44" t="str">
        <x:v>fresh_saladmander</x:v>
      </x:c>
      <x:c r="D24" s="44" t="str">
        <x:v>Meal</x:v>
      </x:c>
      <x:c r="E24" s="44" t="str">
        <x:v>Fresh</x:v>
      </x:c>
      <x:c r="F24" s="44" t="str">
        <x:v>No</x:v>
      </x:c>
      <x:c r="G24" s="44" t="str">
        <x:f>IF(D24="Chef","Mythic",IF(F24="Yes","Rare",IF(OR(D24="Meal",D24="Spice",D24="Environment"),"Uncommon","Common")))</x:f>
        <x:v>Uncommon</x:v>
      </x:c>
      <x:c r="H24" s="49" t="n">
        <x:v>4</x:v>
      </x:c>
      <x:c r="I24" s="49" t="n">
        <x:v>5</x:v>
      </x:c>
      <x:c r="J24" s="44" t="str">
        <x:v>Fresh</x:v>
      </x:c>
      <x:c r="K24" s="50" t="str">
        <x:v>Recipe — Fresh (sacrifice matching Ingredients)</x:v>
      </x:c>
      <x:c r="L24" s="50" t="str">
        <x:v>—</x:v>
      </x:c>
      <x:c r="M24" s="49" t="n">
        <x:v>1</x:v>
      </x:c>
      <x:c r="N24" s="49" t="n">
        <x:v>0</x:v>
      </x:c>
      <x:c r="O24" s="49" t="n">
        <x:f>IF(D24="Meal",M24,N24)</x:f>
        <x:v>1</x:v>
      </x:c>
      <x:c r="P24" s="49" t="n">
        <x:f>IF(G24="Mythic",10,IF(G24="Rare",7,IF(G24="Uncommon",4,2)))</x:f>
        <x:v>4</x:v>
      </x:c>
      <x:c r="Q24" s="50" t="str">
        <x:v>No additional effect.</x:v>
      </x:c>
      <x:c r="R24" s="50" t="str">
        <x:v>Generic recipe + unit combat</x:v>
      </x:c>
      <x:c r="S24" s="54" t="str">
        <x:v>Implemented</x:v>
      </x:c>
      <x:c r="T24" s="50" t="str">
        <x:v>data/cards.json + CookingCombatService.gd</x:v>
      </x:c>
    </x:row>
    <x:row r="25" ht="45" customHeight="1">
      <x:c r="A25" s="44" t="str">
        <x:v>Pepper Pike</x:v>
      </x:c>
      <x:c r="B25" s="44" t="str"/>
      <x:c r="C25" s="44" t="str">
        <x:v>spicy_pepper_pike</x:v>
      </x:c>
      <x:c r="D25" s="44" t="str">
        <x:v>Meal</x:v>
      </x:c>
      <x:c r="E25" s="44" t="str">
        <x:v>Spicy</x:v>
      </x:c>
      <x:c r="F25" s="44" t="str">
        <x:v>No</x:v>
      </x:c>
      <x:c r="G25" s="44" t="str">
        <x:f>IF(D25="Chef","Mythic",IF(F25="Yes","Rare",IF(OR(D25="Meal",D25="Spice",D25="Environment"),"Uncommon","Common")))</x:f>
        <x:v>Uncommon</x:v>
      </x:c>
      <x:c r="H25" s="49" t="n">
        <x:v>4</x:v>
      </x:c>
      <x:c r="I25" s="49" t="n">
        <x:v>3</x:v>
      </x:c>
      <x:c r="J25" s="44" t="str">
        <x:v>Spicy</x:v>
      </x:c>
      <x:c r="K25" s="50" t="str">
        <x:v>Recipe — Spicy (sacrifice matching Ingredients)</x:v>
      </x:c>
      <x:c r="L25" s="50" t="str">
        <x:v>—</x:v>
      </x:c>
      <x:c r="M25" s="49" t="n">
        <x:v>1</x:v>
      </x:c>
      <x:c r="N25" s="49" t="n">
        <x:v>0</x:v>
      </x:c>
      <x:c r="O25" s="49" t="n">
        <x:f>IF(D25="Meal",M25,N25)</x:f>
        <x:v>1</x:v>
      </x:c>
      <x:c r="P25" s="49" t="n">
        <x:f>IF(G25="Mythic",10,IF(G25="Rare",7,IF(G25="Uncommon",4,2)))</x:f>
        <x:v>4</x:v>
      </x:c>
      <x:c r="Q25" s="50" t="str">
        <x:v>While Plated, once per turn deal 1 damage to an opposing Meal.</x:v>
      </x:c>
      <x:c r="R25" s="50" t="str">
        <x:v>Generic recipe + unit combat | activated pepper_pike_ping: damage_enemy_unit</x:v>
      </x:c>
      <x:c r="S25" s="54" t="str">
        <x:v>Implemented</x:v>
      </x:c>
      <x:c r="T25" s="50" t="str">
        <x:v>data/cards.json + CookingCombatService.gd</x:v>
      </x:c>
    </x:row>
    <x:row r="26" ht="45" customHeight="1">
      <x:c r="A26" s="44" t="str">
        <x:v>Meatloaf Mole</x:v>
      </x:c>
      <x:c r="B26" s="44" t="str"/>
      <x:c r="C26" s="44" t="str">
        <x:v>hearty_meatloaf_mole</x:v>
      </x:c>
      <x:c r="D26" s="44" t="str">
        <x:v>Meal</x:v>
      </x:c>
      <x:c r="E26" s="44" t="str">
        <x:v>Hearty</x:v>
      </x:c>
      <x:c r="F26" s="44" t="str">
        <x:v>Yes</x:v>
      </x:c>
      <x:c r="G26" s="44" t="str">
        <x:f>IF(D26="Chef","Mythic",IF(F26="Yes","Rare",IF(OR(D26="Meal",D26="Spice",D26="Environment"),"Uncommon","Common")))</x:f>
        <x:v>Rare</x:v>
      </x:c>
      <x:c r="H26" s="49" t="n">
        <x:v>5</x:v>
      </x:c>
      <x:c r="I26" s="49" t="n">
        <x:v>6</x:v>
      </x:c>
      <x:c r="J26" s="44" t="str">
        <x:v>Hearty ×2</x:v>
      </x:c>
      <x:c r="K26" s="50" t="str">
        <x:v>Recipe — Hearty ×2 (sacrifice matching Ingredients)</x:v>
      </x:c>
      <x:c r="L26" s="50" t="str">
        <x:v>—</x:v>
      </x:c>
      <x:c r="M26" s="49" t="n">
        <x:v>2</x:v>
      </x:c>
      <x:c r="N26" s="49" t="n">
        <x:v>0</x:v>
      </x:c>
      <x:c r="O26" s="49" t="n">
        <x:f>IF(D26="Meal",M26,N26)</x:f>
        <x:v>2</x:v>
      </x:c>
      <x:c r="P26" s="49" t="n">
        <x:f>IF(G26="Mythic",10,IF(G26="Rare",7,IF(G26="Uncommon",4,2)))</x:f>
        <x:v>7</x:v>
      </x:c>
      <x:c r="Q26" s="50" t="str">
        <x:v>When this KOs an opposing unit, heal 2 damage from this.</x:v>
      </x:c>
      <x:c r="R26" s="50" t="str">
        <x:v>Generic recipe + unit combat | on_ko_enemy: heal_self</x:v>
      </x:c>
      <x:c r="S26" s="54" t="str">
        <x:v>Implemented</x:v>
      </x:c>
      <x:c r="T26" s="50" t="str">
        <x:v>data/cards.json + CookingCombatService.gd</x:v>
      </x:c>
    </x:row>
    <x:row r="27" ht="45" customHeight="1">
      <x:c r="A27" s="44" t="str">
        <x:v>Broth Buffalo</x:v>
      </x:c>
      <x:c r="B27" s="44" t="str"/>
      <x:c r="C27" s="44" t="str">
        <x:v>hearty_broth_buffalo</x:v>
      </x:c>
      <x:c r="D27" s="44" t="str">
        <x:v>Meal</x:v>
      </x:c>
      <x:c r="E27" s="44" t="str">
        <x:v>Hearty</x:v>
      </x:c>
      <x:c r="F27" s="44" t="str">
        <x:v>Yes</x:v>
      </x:c>
      <x:c r="G27" s="44" t="str">
        <x:f>IF(D27="Chef","Mythic",IF(F27="Yes","Rare",IF(OR(D27="Meal",D27="Spice",D27="Environment"),"Uncommon","Common")))</x:f>
        <x:v>Rare</x:v>
      </x:c>
      <x:c r="H27" s="49" t="n">
        <x:v>4</x:v>
      </x:c>
      <x:c r="I27" s="49" t="n">
        <x:v>7</x:v>
      </x:c>
      <x:c r="J27" s="44" t="str">
        <x:v>Hearty ×2</x:v>
      </x:c>
      <x:c r="K27" s="50" t="str">
        <x:v>Recipe — Hearty ×2 (sacrifice matching Ingredients)</x:v>
      </x:c>
      <x:c r="L27" s="50" t="str">
        <x:v>—</x:v>
      </x:c>
      <x:c r="M27" s="49" t="n">
        <x:v>2</x:v>
      </x:c>
      <x:c r="N27" s="49" t="n">
        <x:v>0</x:v>
      </x:c>
      <x:c r="O27" s="49" t="n">
        <x:f>IF(D27="Meal",M27,N27)</x:f>
        <x:v>2</x:v>
      </x:c>
      <x:c r="P27" s="49" t="n">
        <x:f>IF(G27="Mythic",10,IF(G27="Rare",7,IF(G27="Uncommon",4,2)))</x:f>
        <x:v>7</x:v>
      </x:c>
      <x:c r="Q27" s="50" t="str">
        <x:v>While Plated, once per turn heal 2 damage from a friendly unit.</x:v>
      </x:c>
      <x:c r="R27" s="50" t="str">
        <x:v>Generic recipe + unit combat | activated broth_buffalo_heal: heal_unit</x:v>
      </x:c>
      <x:c r="S27" s="54" t="str">
        <x:v>Implemented</x:v>
      </x:c>
      <x:c r="T27" s="50" t="str">
        <x:v>data/cards.json + CookingCombatService.gd</x:v>
      </x:c>
    </x:row>
    <x:row r="28" ht="45" customHeight="1">
      <x:c r="A28" s="44" t="str">
        <x:v>Relish Raccoon</x:v>
      </x:c>
      <x:c r="B28" s="44" t="str"/>
      <x:c r="C28" s="44" t="str">
        <x:v>funky_remix_raccoon</x:v>
      </x:c>
      <x:c r="D28" s="44" t="str">
        <x:v>Meal</x:v>
      </x:c>
      <x:c r="E28" s="44" t="str">
        <x:v>Funky</x:v>
      </x:c>
      <x:c r="F28" s="44" t="str">
        <x:v>Yes</x:v>
      </x:c>
      <x:c r="G28" s="44" t="str">
        <x:f>IF(D28="Chef","Mythic",IF(F28="Yes","Rare",IF(OR(D28="Meal",D28="Spice",D28="Environment"),"Uncommon","Common")))</x:f>
        <x:v>Rare</x:v>
      </x:c>
      <x:c r="H28" s="49" t="n">
        <x:v>4</x:v>
      </x:c>
      <x:c r="I28" s="49" t="n">
        <x:v>6</x:v>
      </x:c>
      <x:c r="J28" s="44" t="str">
        <x:v>Funky ×3</x:v>
      </x:c>
      <x:c r="K28" s="50" t="str">
        <x:v>Recipe — Funky ×3 (sacrifice matching Ingredients)</x:v>
      </x:c>
      <x:c r="L28" s="50" t="str">
        <x:v>Pay the copied ability's costs</x:v>
      </x:c>
      <x:c r="M28" s="49" t="n">
        <x:v>3</x:v>
      </x:c>
      <x:c r="N28" s="49" t="n">
        <x:v>0</x:v>
      </x:c>
      <x:c r="O28" s="49" t="n">
        <x:f>IF(D28="Meal",M28,N28)</x:f>
        <x:v>3</x:v>
      </x:c>
      <x:c r="P28" s="49" t="n">
        <x:f>IF(G28="Mythic",10,IF(G28="Rare",7,IF(G28="Uncommon",4,2)))</x:f>
        <x:v>7</x:v>
      </x:c>
      <x:c r="Q28" s="50" t="str">
        <x:v>Once per turn, copy the activated ability of another unit in your Prep area and pay its costs.</x:v>
      </x:c>
      <x:c r="R28" s="50" t="str">
        <x:v>Generic recipe + unit combat | activated remix_raccoon_copy: copy_prep_activated_ability</x:v>
      </x:c>
      <x:c r="S28" s="54" t="str">
        <x:v>Implemented</x:v>
      </x:c>
      <x:c r="T28" s="50" t="str">
        <x:v>data/cards.json + CookingCombatService.gd</x:v>
      </x:c>
    </x:row>
    <x:row r="29" ht="45" customHeight="1">
      <x:c r="A29" s="44" t="str">
        <x:v>Limburger Lynx</x:v>
      </x:c>
      <x:c r="B29" s="44" t="str"/>
      <x:c r="C29" s="44" t="str">
        <x:v>funky_leftover_lynx</x:v>
      </x:c>
      <x:c r="D29" s="44" t="str">
        <x:v>Meal</x:v>
      </x:c>
      <x:c r="E29" s="44" t="str">
        <x:v>Funky</x:v>
      </x:c>
      <x:c r="F29" s="44" t="str">
        <x:v>No</x:v>
      </x:c>
      <x:c r="G29" s="44" t="str">
        <x:f>IF(D29="Chef","Mythic",IF(F29="Yes","Rare",IF(OR(D29="Meal",D29="Spice",D29="Environment"),"Uncommon","Common")))</x:f>
        <x:v>Uncommon</x:v>
      </x:c>
      <x:c r="H29" s="49" t="n">
        <x:v>4</x:v>
      </x:c>
      <x:c r="I29" s="49" t="n">
        <x:v>6</x:v>
      </x:c>
      <x:c r="J29" s="44" t="str">
        <x:v>Funky ×2</x:v>
      </x:c>
      <x:c r="K29" s="50" t="str">
        <x:v>Recipe — Funky ×2 (sacrifice matching Ingredients)</x:v>
      </x:c>
      <x:c r="L29" s="50" t="str">
        <x:v>—</x:v>
      </x:c>
      <x:c r="M29" s="49" t="n">
        <x:v>2</x:v>
      </x:c>
      <x:c r="N29" s="49" t="n">
        <x:v>0</x:v>
      </x:c>
      <x:c r="O29" s="49" t="n">
        <x:f>IF(D29="Meal",M29,N29)</x:f>
        <x:v>2</x:v>
      </x:c>
      <x:c r="P29" s="49" t="n">
        <x:f>IF(G29="Mythic",10,IF(G29="Rare",7,IF(G29="Uncommon",4,2)))</x:f>
        <x:v>4</x:v>
      </x:c>
      <x:c r="Q29" s="50" t="str">
        <x:v>When served, return a unit from your discard pile to your hand.</x:v>
      </x:c>
      <x:c r="R29" s="50" t="str">
        <x:v>Generic recipe + unit combat | on_play: recover</x:v>
      </x:c>
      <x:c r="S29" s="54" t="str">
        <x:v>Implemented</x:v>
      </x:c>
      <x:c r="T29" s="50" t="str">
        <x:v>data/cards.json + CookingCombatService.gd</x:v>
      </x:c>
    </x:row>
    <x:row r="30" ht="45" customHeight="1">
      <x:c r="A30" s="44" t="str">
        <x:v>Bottomless Trifle Tern</x:v>
      </x:c>
      <x:c r="B30" s="44" t="str"/>
      <x:c r="C30" s="44" t="str">
        <x:v>sweet_bottomless_trifle_tern</x:v>
      </x:c>
      <x:c r="D30" s="44" t="str">
        <x:v>Meal</x:v>
      </x:c>
      <x:c r="E30" s="44" t="str">
        <x:v>Sweet</x:v>
      </x:c>
      <x:c r="F30" s="44" t="str">
        <x:v>Yes</x:v>
      </x:c>
      <x:c r="G30" s="44" t="str">
        <x:f>IF(D30="Chef","Mythic",IF(F30="Yes","Rare",IF(OR(D30="Meal",D30="Spice",D30="Environment"),"Uncommon","Common")))</x:f>
        <x:v>Rare</x:v>
      </x:c>
      <x:c r="H30" s="49" t="n">
        <x:v>4</x:v>
      </x:c>
      <x:c r="I30" s="49" t="n">
        <x:v>5</x:v>
      </x:c>
      <x:c r="J30" s="44" t="str">
        <x:v>Sweet</x:v>
      </x:c>
      <x:c r="K30" s="50" t="str">
        <x:v>Recipe — Sweet (sacrifice matching Ingredients); plus sacrifice 1 Sweet Meal</x:v>
      </x:c>
      <x:c r="L30" s="50" t="str">
        <x:v>—</x:v>
      </x:c>
      <x:c r="M30" s="49" t="n">
        <x:v>1</x:v>
      </x:c>
      <x:c r="N30" s="49" t="n">
        <x:v>0</x:v>
      </x:c>
      <x:c r="O30" s="49" t="n">
        <x:f>IF(D30="Meal",M30,N30)</x:f>
        <x:v>1</x:v>
      </x:c>
      <x:c r="P30" s="49" t="n">
        <x:f>IF(G30="Mythic",10,IF(G30="Rare",7,IF(G30="Uncommon",4,2)))</x:f>
        <x:v>7</x:v>
      </x:c>
      <x:c r="Q30" s="50" t="str">
        <x:v>To serve this, also sacrifice a Sweet Meal. The first time this attacks each turn, draw until you have 6 cards.</x:v>
      </x:c>
      <x:c r="R30" s="50" t="str">
        <x:v>Generic recipe + unit combat | on_attack: draw_to_hand_size | required_meal_archetype: sweet</x:v>
      </x:c>
      <x:c r="S30" s="54" t="str">
        <x:v>Implemented</x:v>
      </x:c>
      <x:c r="T30" s="50" t="str">
        <x:v>data/cards.json + CookingCombatService.gd</x:v>
      </x:c>
    </x:row>
    <x:row r="31" ht="45" customHeight="1">
      <x:c r="A31" s="44" t="str">
        <x:v>Pudding Puma</x:v>
      </x:c>
      <x:c r="B31" s="44" t="str"/>
      <x:c r="C31" s="44" t="str">
        <x:v>sweet_pudding_puma</x:v>
      </x:c>
      <x:c r="D31" s="44" t="str">
        <x:v>Meal</x:v>
      </x:c>
      <x:c r="E31" s="44" t="str">
        <x:v>Sweet</x:v>
      </x:c>
      <x:c r="F31" s="44" t="str">
        <x:v>Yes</x:v>
      </x:c>
      <x:c r="G31" s="44" t="str">
        <x:f>IF(D31="Chef","Mythic",IF(F31="Yes","Rare",IF(OR(D31="Meal",D31="Spice",D31="Environment"),"Uncommon","Common")))</x:f>
        <x:v>Rare</x:v>
      </x:c>
      <x:c r="H31" s="49" t="n">
        <x:v>3</x:v>
      </x:c>
      <x:c r="I31" s="49" t="n">
        <x:v>4</x:v>
      </x:c>
      <x:c r="J31" s="44" t="str">
        <x:v>Sweet ×2</x:v>
      </x:c>
      <x:c r="K31" s="50" t="str">
        <x:v>Recipe — Sweet ×2 (sacrifice matching Ingredients)</x:v>
      </x:c>
      <x:c r="L31" s="50" t="str">
        <x:v>—</x:v>
      </x:c>
      <x:c r="M31" s="49" t="n">
        <x:v>2</x:v>
      </x:c>
      <x:c r="N31" s="49" t="n">
        <x:v>0</x:v>
      </x:c>
      <x:c r="O31" s="49" t="n">
        <x:f>IF(D31="Meal",M31,N31)</x:f>
        <x:v>2</x:v>
      </x:c>
      <x:c r="P31" s="49" t="n">
        <x:f>IF(G31="Mythic",10,IF(G31="Rare",7,IF(G31="Uncommon",4,2)))</x:f>
        <x:v>7</x:v>
      </x:c>
      <x:c r="Q31" s="50" t="str">
        <x:v>This can attack while in Prep.</x:v>
      </x:c>
      <x:c r="R31" s="50" t="str">
        <x:v>Generic recipe + unit combat | can_attack_from_prep</x:v>
      </x:c>
      <x:c r="S31" s="54" t="str">
        <x:v>Implemented</x:v>
      </x:c>
      <x:c r="T31" s="50" t="str">
        <x:v>data/cards.json + CookingCombatService.gd</x:v>
      </x:c>
    </x:row>
    <x:row r="32" ht="45" customHeight="1">
      <x:c r="A32" s="44" t="str">
        <x:v>Tempeh Tapir</x:v>
      </x:c>
      <x:c r="B32" s="44" t="str"/>
      <x:c r="C32" s="44" t="str">
        <x:v>funky_trap_jam_tapir</x:v>
      </x:c>
      <x:c r="D32" s="44" t="str">
        <x:v>Meal</x:v>
      </x:c>
      <x:c r="E32" s="44" t="str">
        <x:v>Funky</x:v>
      </x:c>
      <x:c r="F32" s="44" t="str">
        <x:v>Yes</x:v>
      </x:c>
      <x:c r="G32" s="44" t="str">
        <x:f>IF(D32="Chef","Mythic",IF(F32="Yes","Rare",IF(OR(D32="Meal",D32="Spice",D32="Environment"),"Uncommon","Common")))</x:f>
        <x:v>Rare</x:v>
      </x:c>
      <x:c r="H32" s="49" t="n">
        <x:v>3</x:v>
      </x:c>
      <x:c r="I32" s="49" t="n">
        <x:v>4</x:v>
      </x:c>
      <x:c r="J32" s="44" t="str">
        <x:v>Funky</x:v>
      </x:c>
      <x:c r="K32" s="50" t="str">
        <x:v>Recipe — Funky (sacrifice matching Ingredients)</x:v>
      </x:c>
      <x:c r="L32" s="50" t="str">
        <x:v>—</x:v>
      </x:c>
      <x:c r="M32" s="49" t="n">
        <x:v>1</x:v>
      </x:c>
      <x:c r="N32" s="49" t="n">
        <x:v>0</x:v>
      </x:c>
      <x:c r="O32" s="49" t="n">
        <x:f>IF(D32="Meal",M32,N32)</x:f>
        <x:v>1</x:v>
      </x:c>
      <x:c r="P32" s="49" t="n">
        <x:f>IF(G32="Mythic",10,IF(G32="Rare",7,IF(G32="Uncommon",4,2)))</x:f>
        <x:v>7</x:v>
      </x:c>
      <x:c r="Q32" s="50" t="str">
        <x:v>While Plated, once per turn negate an opposing Hand Trap.</x:v>
      </x:c>
      <x:c r="R32" s="50" t="str">
        <x:v>Generic recipe + unit combat | hand_trap_guard (plated)</x:v>
      </x:c>
      <x:c r="S32" s="54" t="str">
        <x:v>Implemented</x:v>
      </x:c>
      <x:c r="T32" s="50" t="str">
        <x:v>data/cards.json + CookingCombatService.gd</x:v>
      </x:c>
    </x:row>
    <x:row r="33" ht="45" customHeight="1">
      <x:c r="A33" s="44" t="str">
        <x:v>Hot Honey Bee</x:v>
      </x:c>
      <x:c r="B33" s="44" t="str"/>
      <x:c r="C33" s="44" t="str">
        <x:v>spicy_hot_honey_bee</x:v>
      </x:c>
      <x:c r="D33" s="44" t="str">
        <x:v>Ingredient</x:v>
      </x:c>
      <x:c r="E33" s="44" t="str">
        <x:v>Spicy</x:v>
      </x:c>
      <x:c r="F33" s="44" t="str">
        <x:v>No</x:v>
      </x:c>
      <x:c r="G33" s="44" t="str">
        <x:f>IF(D33="Chef","Mythic",IF(F33="Yes","Rare",IF(OR(D33="Meal",D33="Spice",D33="Environment"),"Uncommon","Common")))</x:f>
        <x:v>Common</x:v>
      </x:c>
      <x:c r="H33" s="49" t="n">
        <x:v>1</x:v>
      </x:c>
      <x:c r="I33" s="49" t="n">
        <x:v>1</x:v>
      </x:c>
      <x:c r="J33" s="44" t="str">
        <x:v>Spicy</x:v>
      </x:c>
      <x:c r="K33" s="50" t="str">
        <x:v>No additional cost</x:v>
      </x:c>
      <x:c r="L33" s="50" t="str">
        <x:v>—</x:v>
      </x:c>
      <x:c r="M33" s="49" t="n">
        <x:v>0</x:v>
      </x:c>
      <x:c r="N33" s="49" t="n">
        <x:v>0</x:v>
      </x:c>
      <x:c r="O33" s="49" t="n">
        <x:f>IF(D33="Meal",M33,N33)</x:f>
        <x:v>0</x:v>
      </x:c>
      <x:c r="P33" s="49" t="n">
        <x:f>IF(G33="Mythic",10,IF(G33="Rare",7,IF(G33="Uncommon",4,2)))</x:f>
        <x:v>2</x:v>
      </x:c>
      <x:c r="Q33" s="50" t="str">
        <x:v>When played, deal 1 damage to the opposing chef.</x:v>
      </x:c>
      <x:c r="R33" s="50" t="str">
        <x:v>Generic unit play/combat | on_play: damage_enemy_player</x:v>
      </x:c>
      <x:c r="S33" s="54" t="str">
        <x:v>Implemented</x:v>
      </x:c>
      <x:c r="T33" s="50" t="str">
        <x:v>data/cards.json + CookingCombatService.gd</x:v>
      </x:c>
    </x:row>
    <x:row r="34" ht="45" customHeight="1">
      <x:c r="A34" s="44" t="str">
        <x:v>Jalapeño Panther</x:v>
      </x:c>
      <x:c r="B34" s="44" t="str"/>
      <x:c r="C34" s="44" t="str">
        <x:v>spicy_jalapeno_panther</x:v>
      </x:c>
      <x:c r="D34" s="44" t="str">
        <x:v>Ingredient</x:v>
      </x:c>
      <x:c r="E34" s="44" t="str">
        <x:v>Spicy</x:v>
      </x:c>
      <x:c r="F34" s="44" t="str">
        <x:v>No</x:v>
      </x:c>
      <x:c r="G34" s="44" t="str">
        <x:f>IF(D34="Chef","Mythic",IF(F34="Yes","Rare",IF(OR(D34="Meal",D34="Spice",D34="Environment"),"Uncommon","Common")))</x:f>
        <x:v>Common</x:v>
      </x:c>
      <x:c r="H34" s="49" t="n">
        <x:v>2</x:v>
      </x:c>
      <x:c r="I34" s="49" t="n">
        <x:v>3</x:v>
      </x:c>
      <x:c r="J34" s="44" t="str">
        <x:v>Spicy</x:v>
      </x:c>
      <x:c r="K34" s="50" t="str">
        <x:v>No additional cost</x:v>
      </x:c>
      <x:c r="L34" s="50" t="str">
        <x:v>—</x:v>
      </x:c>
      <x:c r="M34" s="49" t="n">
        <x:v>0</x:v>
      </x:c>
      <x:c r="N34" s="49" t="n">
        <x:v>0</x:v>
      </x:c>
      <x:c r="O34" s="49" t="n">
        <x:f>IF(D34="Meal",M34,N34)</x:f>
        <x:v>0</x:v>
      </x:c>
      <x:c r="P34" s="49" t="n">
        <x:f>IF(G34="Mythic",10,IF(G34="Rare",7,IF(G34="Uncommon",4,2)))</x:f>
        <x:v>2</x:v>
      </x:c>
      <x:c r="Q34" s="50" t="str">
        <x:v>No additional effect.</x:v>
      </x:c>
      <x:c r="R34" s="50" t="str">
        <x:v>Generic unit play/combat</x:v>
      </x:c>
      <x:c r="S34" s="54" t="str">
        <x:v>Implemented</x:v>
      </x:c>
      <x:c r="T34" s="50" t="str">
        <x:v>data/cards.json + CookingCombatService.gd</x:v>
      </x:c>
    </x:row>
    <x:row r="35" ht="45" customHeight="1">
      <x:c r="A35" s="44" t="str">
        <x:v>Red Pepper Panda</x:v>
      </x:c>
      <x:c r="B35" s="44" t="str"/>
      <x:c r="C35" s="44" t="str">
        <x:v>spicy_red_pepper_panda</x:v>
      </x:c>
      <x:c r="D35" s="44" t="str">
        <x:v>Ingredient</x:v>
      </x:c>
      <x:c r="E35" s="44" t="str">
        <x:v>Spicy</x:v>
      </x:c>
      <x:c r="F35" s="44" t="str">
        <x:v>No</x:v>
      </x:c>
      <x:c r="G35" s="44" t="str">
        <x:f>IF(D35="Chef","Mythic",IF(F35="Yes","Rare",IF(OR(D35="Meal",D35="Spice",D35="Environment"),"Uncommon","Common")))</x:f>
        <x:v>Common</x:v>
      </x:c>
      <x:c r="H35" s="49" t="n">
        <x:v>1</x:v>
      </x:c>
      <x:c r="I35" s="49" t="n">
        <x:v>2</x:v>
      </x:c>
      <x:c r="J35" s="44" t="str">
        <x:v>Spicy</x:v>
      </x:c>
      <x:c r="K35" s="50" t="str">
        <x:v>No additional cost</x:v>
      </x:c>
      <x:c r="L35" s="50" t="str">
        <x:v>—</x:v>
      </x:c>
      <x:c r="M35" s="49" t="n">
        <x:v>0</x:v>
      </x:c>
      <x:c r="N35" s="49" t="n">
        <x:v>0</x:v>
      </x:c>
      <x:c r="O35" s="49" t="n">
        <x:f>IF(D35="Meal",M35,N35)</x:f>
        <x:v>0</x:v>
      </x:c>
      <x:c r="P35" s="49" t="n">
        <x:f>IF(G35="Mythic",10,IF(G35="Rare",7,IF(G35="Uncommon",4,2)))</x:f>
        <x:v>2</x:v>
      </x:c>
      <x:c r="Q35" s="50" t="str">
        <x:v>Stalwart — this card can attack the opposing chef even while they control Plated cards.</x:v>
      </x:c>
      <x:c r="R35" s="50" t="str">
        <x:v>Generic unit play/combat | keywords: stalwart</x:v>
      </x:c>
      <x:c r="S35" s="54" t="str">
        <x:v>Implemented</x:v>
      </x:c>
      <x:c r="T35" s="50" t="str">
        <x:v>data/cards.json + CookingCombatService.gd</x:v>
      </x:c>
    </x:row>
    <x:row r="36" ht="45" customHeight="1">
      <x:c r="A36" s="44" t="str">
        <x:v>Wastabi</x:v>
      </x:c>
      <x:c r="B36" s="44" t="str">
        <x:v>Wasabi Wasp</x:v>
      </x:c>
      <x:c r="C36" s="44" t="str">
        <x:v>spicy_wasabi_wasp</x:v>
      </x:c>
      <x:c r="D36" s="44" t="str">
        <x:v>Ingredient</x:v>
      </x:c>
      <x:c r="E36" s="44" t="str">
        <x:v>Spicy</x:v>
      </x:c>
      <x:c r="F36" s="44" t="str">
        <x:v>Yes</x:v>
      </x:c>
      <x:c r="G36" s="44" t="str">
        <x:f>IF(D36="Chef","Mythic",IF(F36="Yes","Rare",IF(OR(D36="Meal",D36="Spice",D36="Environment"),"Uncommon","Common")))</x:f>
        <x:v>Rare</x:v>
      </x:c>
      <x:c r="H36" s="49" t="n">
        <x:v>2</x:v>
      </x:c>
      <x:c r="I36" s="49" t="n">
        <x:v>1</x:v>
      </x:c>
      <x:c r="J36" s="44" t="str">
        <x:v>Spicy</x:v>
      </x:c>
      <x:c r="K36" s="50" t="str">
        <x:v>No additional cost</x:v>
      </x:c>
      <x:c r="L36" s="50" t="str">
        <x:v>—</x:v>
      </x:c>
      <x:c r="M36" s="49" t="n">
        <x:v>0</x:v>
      </x:c>
      <x:c r="N36" s="49" t="n">
        <x:v>0</x:v>
      </x:c>
      <x:c r="O36" s="49" t="n">
        <x:f>IF(D36="Meal",M36,N36)</x:f>
        <x:v>0</x:v>
      </x:c>
      <x:c r="P36" s="49" t="n">
        <x:f>IF(G36="Mythic",10,IF(G36="Rare",7,IF(G36="Uncommon",4,2)))</x:f>
        <x:v>7</x:v>
      </x:c>
      <x:c r="Q36" s="50" t="str">
        <x:v>When played, deal 1 damage to all opposing Plated units.</x:v>
      </x:c>
      <x:c r="R36" s="50" t="str">
        <x:v>Generic unit play/combat | on_play: damage_all_enemy_plated</x:v>
      </x:c>
      <x:c r="S36" s="54" t="str">
        <x:v>Implemented</x:v>
      </x:c>
      <x:c r="T36" s="50" t="str">
        <x:v>data/cards.json + CookingCombatService.gd</x:v>
      </x:c>
    </x:row>
    <x:row r="37" ht="45" customHeight="1">
      <x:c r="A37" s="44" t="str">
        <x:v>Jakapeno</x:v>
      </x:c>
      <x:c r="B37" s="44" t="str">
        <x:v>Jalapeño Jackal</x:v>
      </x:c>
      <x:c r="C37" s="44" t="str">
        <x:v>spicy_jalapeno_jackal</x:v>
      </x:c>
      <x:c r="D37" s="44" t="str">
        <x:v>Ingredient</x:v>
      </x:c>
      <x:c r="E37" s="44" t="str">
        <x:v>Spicy</x:v>
      </x:c>
      <x:c r="F37" s="44" t="str">
        <x:v>No</x:v>
      </x:c>
      <x:c r="G37" s="44" t="str">
        <x:f>IF(D37="Chef","Mythic",IF(F37="Yes","Rare",IF(OR(D37="Meal",D37="Spice",D37="Environment"),"Uncommon","Common")))</x:f>
        <x:v>Common</x:v>
      </x:c>
      <x:c r="H37" s="49" t="n">
        <x:v>1</x:v>
      </x:c>
      <x:c r="I37" s="49" t="n">
        <x:v>1</x:v>
      </x:c>
      <x:c r="J37" s="44" t="str">
        <x:v>Spicy</x:v>
      </x:c>
      <x:c r="K37" s="50" t="str">
        <x:v>No additional cost</x:v>
      </x:c>
      <x:c r="L37" s="50" t="str">
        <x:v>Sacrifice self</x:v>
      </x:c>
      <x:c r="M37" s="49" t="n">
        <x:v>0</x:v>
      </x:c>
      <x:c r="N37" s="49" t="n">
        <x:v>0</x:v>
      </x:c>
      <x:c r="O37" s="49" t="n">
        <x:f>IF(D37="Meal",M37,N37)</x:f>
        <x:v>0</x:v>
      </x:c>
      <x:c r="P37" s="49" t="n">
        <x:f>IF(G37="Mythic",10,IF(G37="Rare",7,IF(G37="Uncommon",4,2)))</x:f>
        <x:v>2</x:v>
      </x:c>
      <x:c r="Q37" s="50" t="str">
        <x:v>Sacrifice this: search your deck for a Spicy card.</x:v>
      </x:c>
      <x:c r="R37" s="50" t="str">
        <x:v>Generic unit play/combat | activated jakapeno_search: search</x:v>
      </x:c>
      <x:c r="S37" s="54" t="str">
        <x:v>Implemented</x:v>
      </x:c>
      <x:c r="T37" s="50" t="str">
        <x:v>data/cards.json + CookingCombatService.gd</x:v>
      </x:c>
    </x:row>
    <x:row r="38" ht="45" customHeight="1">
      <x:c r="A38" s="44" t="str">
        <x:v>Peppercupine</x:v>
      </x:c>
      <x:c r="B38" s="44" t="str">
        <x:v>Peppercorn Porcupine</x:v>
      </x:c>
      <x:c r="C38" s="44" t="str">
        <x:v>spicy_peppercorn_porcupine</x:v>
      </x:c>
      <x:c r="D38" s="44" t="str">
        <x:v>Ingredient</x:v>
      </x:c>
      <x:c r="E38" s="44" t="str">
        <x:v>Spicy</x:v>
      </x:c>
      <x:c r="F38" s="44" t="str">
        <x:v>Yes</x:v>
      </x:c>
      <x:c r="G38" s="44" t="str">
        <x:f>IF(D38="Chef","Mythic",IF(F38="Yes","Rare",IF(OR(D38="Meal",D38="Spice",D38="Environment"),"Uncommon","Common")))</x:f>
        <x:v>Rare</x:v>
      </x:c>
      <x:c r="H38" s="49" t="n">
        <x:v>2</x:v>
      </x:c>
      <x:c r="I38" s="49" t="n">
        <x:v>1</x:v>
      </x:c>
      <x:c r="J38" s="44" t="str">
        <x:v>Spicy</x:v>
      </x:c>
      <x:c r="K38" s="50" t="str">
        <x:v>No additional cost</x:v>
      </x:c>
      <x:c r="L38" s="50" t="str">
        <x:v>—</x:v>
      </x:c>
      <x:c r="M38" s="49" t="n">
        <x:v>0</x:v>
      </x:c>
      <x:c r="N38" s="49" t="n">
        <x:v>0</x:v>
      </x:c>
      <x:c r="O38" s="49" t="n">
        <x:f>IF(D38="Meal",M38,N38)</x:f>
        <x:v>0</x:v>
      </x:c>
      <x:c r="P38" s="49" t="n">
        <x:f>IF(G38="Mythic",10,IF(G38="Rare",7,IF(G38="Uncommon",4,2)))</x:f>
        <x:v>7</x:v>
      </x:c>
      <x:c r="Q38" s="50" t="str">
        <x:v>When played, search your deck for a Spicy meal.</x:v>
      </x:c>
      <x:c r="R38" s="50" t="str">
        <x:v>Generic unit play/combat | on_play: search</x:v>
      </x:c>
      <x:c r="S38" s="54" t="str">
        <x:v>Implemented</x:v>
      </x:c>
      <x:c r="T38" s="50" t="str">
        <x:v>data/cards.json + CookingCombatService.gd</x:v>
      </x:c>
    </x:row>
    <x:row r="39" ht="45" customHeight="1">
      <x:c r="A39" s="44" t="str">
        <x:v>Harebanero</x:v>
      </x:c>
      <x:c r="B39" s="44" t="str">
        <x:v>Habanero Hare</x:v>
      </x:c>
      <x:c r="C39" s="44" t="str">
        <x:v>spicy_habanero_hare</x:v>
      </x:c>
      <x:c r="D39" s="44" t="str">
        <x:v>Ingredient</x:v>
      </x:c>
      <x:c r="E39" s="44" t="str">
        <x:v>Spicy</x:v>
      </x:c>
      <x:c r="F39" s="44" t="str">
        <x:v>No</x:v>
      </x:c>
      <x:c r="G39" s="44" t="str">
        <x:f>IF(D39="Chef","Mythic",IF(F39="Yes","Rare",IF(OR(D39="Meal",D39="Spice",D39="Environment"),"Uncommon","Common")))</x:f>
        <x:v>Common</x:v>
      </x:c>
      <x:c r="H39" s="49" t="n">
        <x:v>2</x:v>
      </x:c>
      <x:c r="I39" s="49" t="n">
        <x:v>1</x:v>
      </x:c>
      <x:c r="J39" s="44" t="str">
        <x:v>Spicy</x:v>
      </x:c>
      <x:c r="K39" s="50" t="str">
        <x:v>No additional cost</x:v>
      </x:c>
      <x:c r="L39" s="50" t="str">
        <x:v>—</x:v>
      </x:c>
      <x:c r="M39" s="49" t="n">
        <x:v>0</x:v>
      </x:c>
      <x:c r="N39" s="49" t="n">
        <x:v>0</x:v>
      </x:c>
      <x:c r="O39" s="49" t="n">
        <x:f>IF(D39="Meal",M39,N39)</x:f>
        <x:v>0</x:v>
      </x:c>
      <x:c r="P39" s="49" t="n">
        <x:f>IF(G39="Mythic",10,IF(G39="Rare",7,IF(G39="Uncommon",4,2)))</x:f>
        <x:v>2</x:v>
      </x:c>
      <x:c r="Q39" s="50" t="str">
        <x:v>When sacrificed, deal 2 damage to a random opposing card in Prep.</x:v>
      </x:c>
      <x:c r="R39" s="50" t="str">
        <x:v>Generic unit play/combat | on_sacrifice: damage_enemy_prep</x:v>
      </x:c>
      <x:c r="S39" s="54" t="str">
        <x:v>Implemented</x:v>
      </x:c>
      <x:c r="T39" s="50" t="str">
        <x:v>data/cards.json + CookingCombatService.gd</x:v>
      </x:c>
    </x:row>
    <x:row r="40" ht="45" customHeight="1">
      <x:c r="A40" s="44" t="str">
        <x:v>Ghost Pepython</x:v>
      </x:c>
      <x:c r="B40" s="44" t="str">
        <x:v>Ghost Pepper Python</x:v>
      </x:c>
      <x:c r="C40" s="44" t="str">
        <x:v>spicy_ghost_pepper_python</x:v>
      </x:c>
      <x:c r="D40" s="44" t="str">
        <x:v>Ingredient</x:v>
      </x:c>
      <x:c r="E40" s="44" t="str">
        <x:v>Spicy</x:v>
      </x:c>
      <x:c r="F40" s="44" t="str">
        <x:v>Yes</x:v>
      </x:c>
      <x:c r="G40" s="44" t="str">
        <x:f>IF(D40="Chef","Mythic",IF(F40="Yes","Rare",IF(OR(D40="Meal",D40="Spice",D40="Environment"),"Uncommon","Common")))</x:f>
        <x:v>Rare</x:v>
      </x:c>
      <x:c r="H40" s="49" t="n">
        <x:v>2</x:v>
      </x:c>
      <x:c r="I40" s="49" t="n">
        <x:v>1</x:v>
      </x:c>
      <x:c r="J40" s="44" t="str">
        <x:v>Spicy</x:v>
      </x:c>
      <x:c r="K40" s="50" t="str">
        <x:v>No additional cost</x:v>
      </x:c>
      <x:c r="L40" s="50" t="str">
        <x:v>—</x:v>
      </x:c>
      <x:c r="M40" s="49" t="n">
        <x:v>0</x:v>
      </x:c>
      <x:c r="N40" s="49" t="n">
        <x:v>0</x:v>
      </x:c>
      <x:c r="O40" s="49" t="n">
        <x:f>IF(D40="Meal",M40,N40)</x:f>
        <x:v>0</x:v>
      </x:c>
      <x:c r="P40" s="49" t="n">
        <x:f>IF(G40="Mythic",10,IF(G40="Rare",7,IF(G40="Uncommon",4,2)))</x:f>
        <x:v>7</x:v>
      </x:c>
      <x:c r="Q40" s="50" t="str">
        <x:v>When played, discard your hand. If you discarded at least one card this way, draw 3.</x:v>
      </x:c>
      <x:c r="R40" s="50" t="str">
        <x:v>Generic unit play/combat | on_play: discard_hand_then_draw_if_any</x:v>
      </x:c>
      <x:c r="S40" s="54" t="str">
        <x:v>Implemented</x:v>
      </x:c>
      <x:c r="T40" s="50" t="str">
        <x:v>data/cards.json + CookingCombatService.gd</x:v>
      </x:c>
    </x:row>
    <x:row r="41" ht="45" customHeight="1">
      <x:c r="A41" s="44" t="str">
        <x:v>Chili Cicada</x:v>
      </x:c>
      <x:c r="B41" s="44" t="str"/>
      <x:c r="C41" s="44" t="str">
        <x:v>spicy_chili_cicada</x:v>
      </x:c>
      <x:c r="D41" s="44" t="str">
        <x:v>Ingredient</x:v>
      </x:c>
      <x:c r="E41" s="44" t="str">
        <x:v>Spicy</x:v>
      </x:c>
      <x:c r="F41" s="44" t="str">
        <x:v>Yes</x:v>
      </x:c>
      <x:c r="G41" s="44" t="str">
        <x:f>IF(D41="Chef","Mythic",IF(F41="Yes","Rare",IF(OR(D41="Meal",D41="Spice",D41="Environment"),"Uncommon","Common")))</x:f>
        <x:v>Rare</x:v>
      </x:c>
      <x:c r="H41" s="49" t="n">
        <x:v>1</x:v>
      </x:c>
      <x:c r="I41" s="49" t="n">
        <x:v>1</x:v>
      </x:c>
      <x:c r="J41" s="44" t="str">
        <x:v>Spicy</x:v>
      </x:c>
      <x:c r="K41" s="50" t="str">
        <x:v>No additional cost</x:v>
      </x:c>
      <x:c r="L41" s="50" t="str">
        <x:v>—</x:v>
      </x:c>
      <x:c r="M41" s="49" t="n">
        <x:v>0</x:v>
      </x:c>
      <x:c r="N41" s="49" t="n">
        <x:v>0</x:v>
      </x:c>
      <x:c r="O41" s="49" t="n">
        <x:f>IF(D41="Meal",M41,N41)</x:f>
        <x:v>0</x:v>
      </x:c>
      <x:c r="P41" s="49" t="n">
        <x:f>IF(G41="Mythic",10,IF(G41="Rare",7,IF(G41="Uncommon",4,2)))</x:f>
        <x:v>7</x:v>
      </x:c>
      <x:c r="Q41" s="50" t="str">
        <x:v>When this is KO'd, deal 3 damage to an opposing unit.</x:v>
      </x:c>
      <x:c r="R41" s="50" t="str">
        <x:v>Generic unit play/combat | on_ko: damage_enemy_unit</x:v>
      </x:c>
      <x:c r="S41" s="54" t="str">
        <x:v>Implemented</x:v>
      </x:c>
      <x:c r="T41" s="50" t="str">
        <x:v>data/cards.json + CookingCombatService.gd</x:v>
      </x:c>
    </x:row>
    <x:row r="42" ht="45" customHeight="1">
      <x:c r="A42" s="44" t="str">
        <x:v>Beet Beetle</x:v>
      </x:c>
      <x:c r="B42" s="44" t="str"/>
      <x:c r="C42" s="44" t="str">
        <x:v>funky_beat_beetle</x:v>
      </x:c>
      <x:c r="D42" s="44" t="str">
        <x:v>Ingredient</x:v>
      </x:c>
      <x:c r="E42" s="44" t="str">
        <x:v>Funky</x:v>
      </x:c>
      <x:c r="F42" s="44" t="str">
        <x:v>No</x:v>
      </x:c>
      <x:c r="G42" s="44" t="str">
        <x:f>IF(D42="Chef","Mythic",IF(F42="Yes","Rare",IF(OR(D42="Meal",D42="Spice",D42="Environment"),"Uncommon","Common")))</x:f>
        <x:v>Common</x:v>
      </x:c>
      <x:c r="H42" s="49" t="n">
        <x:v>1</x:v>
      </x:c>
      <x:c r="I42" s="49" t="n">
        <x:v>1</x:v>
      </x:c>
      <x:c r="J42" s="44" t="str">
        <x:v>Funky</x:v>
      </x:c>
      <x:c r="K42" s="50" t="str">
        <x:v>No additional cost</x:v>
      </x:c>
      <x:c r="L42" s="50" t="str">
        <x:v>—</x:v>
      </x:c>
      <x:c r="M42" s="49" t="n">
        <x:v>0</x:v>
      </x:c>
      <x:c r="N42" s="49" t="n">
        <x:v>0</x:v>
      </x:c>
      <x:c r="O42" s="49" t="n">
        <x:f>IF(D42="Meal",M42,N42)</x:f>
        <x:v>0</x:v>
      </x:c>
      <x:c r="P42" s="49" t="n">
        <x:f>IF(G42="Mythic",10,IF(G42="Rare",7,IF(G42="Uncommon",4,2)))</x:f>
        <x:v>2</x:v>
      </x:c>
      <x:c r="Q42" s="50" t="str">
        <x:v>When played, discard the top card of your deck. If it is a unit, this gets +3/+3.</x:v>
      </x:c>
      <x:c r="R42" s="50" t="str">
        <x:v>Generic unit play/combat | on_play: discard_top_then_buff_if_unit</x:v>
      </x:c>
      <x:c r="S42" s="54" t="str">
        <x:v>Implemented</x:v>
      </x:c>
      <x:c r="T42" s="50" t="str">
        <x:v>data/cards.json + CookingCombatService.gd</x:v>
      </x:c>
    </x:row>
    <x:row r="43" ht="45" customHeight="1">
      <x:c r="A43" s="44" t="str">
        <x:v>Salad Shield Skunk</x:v>
      </x:c>
      <x:c r="B43" s="44" t="str"/>
      <x:c r="C43" s="44" t="str">
        <x:v>fresh_salad_shield_skunk</x:v>
      </x:c>
      <x:c r="D43" s="44" t="str">
        <x:v>Ingredient</x:v>
      </x:c>
      <x:c r="E43" s="44" t="str">
        <x:v>Fresh</x:v>
      </x:c>
      <x:c r="F43" s="44" t="str">
        <x:v>No</x:v>
      </x:c>
      <x:c r="G43" s="44" t="str">
        <x:f>IF(D43="Chef","Mythic",IF(F43="Yes","Rare",IF(OR(D43="Meal",D43="Spice",D43="Environment"),"Uncommon","Common")))</x:f>
        <x:v>Common</x:v>
      </x:c>
      <x:c r="H43" s="49" t="n">
        <x:v>1</x:v>
      </x:c>
      <x:c r="I43" s="49" t="n">
        <x:v>2</x:v>
      </x:c>
      <x:c r="J43" s="44" t="str">
        <x:v>Fresh</x:v>
      </x:c>
      <x:c r="K43" s="50" t="str">
        <x:v>No additional cost</x:v>
      </x:c>
      <x:c r="L43" s="50" t="str">
        <x:v>—</x:v>
      </x:c>
      <x:c r="M43" s="49" t="n">
        <x:v>0</x:v>
      </x:c>
      <x:c r="N43" s="49" t="n">
        <x:v>0</x:v>
      </x:c>
      <x:c r="O43" s="49" t="n">
        <x:f>IF(D43="Meal",M43,N43)</x:f>
        <x:v>0</x:v>
      </x:c>
      <x:c r="P43" s="49" t="n">
        <x:f>IF(G43="Mythic",10,IF(G43="Rare",7,IF(G43="Uncommon",4,2)))</x:f>
        <x:v>2</x:v>
      </x:c>
      <x:c r="Q43" s="50" t="str">
        <x:v>While this is in Prep, opposing effects cannot damage your other Prep units.</x:v>
      </x:c>
      <x:c r="R43" s="50" t="str">
        <x:v>Generic unit play/combat | Prep effect-damage protection</x:v>
      </x:c>
      <x:c r="S43" s="54" t="str">
        <x:v>Implemented</x:v>
      </x:c>
      <x:c r="T43" s="50" t="str">
        <x:v>data/cards.json + CookingCombatService.gd</x:v>
      </x:c>
    </x:row>
    <x:row r="44" ht="45" customHeight="1">
      <x:c r="A44" s="44" t="str">
        <x:v>Chutney Chinchilla</x:v>
      </x:c>
      <x:c r="B44" s="44" t="str"/>
      <x:c r="C44" s="44" t="str">
        <x:v>funky_chef_check_chinchilla</x:v>
      </x:c>
      <x:c r="D44" s="44" t="str">
        <x:v>Ingredient</x:v>
      </x:c>
      <x:c r="E44" s="44" t="str">
        <x:v>Funky</x:v>
      </x:c>
      <x:c r="F44" s="44" t="str">
        <x:v>Yes</x:v>
      </x:c>
      <x:c r="G44" s="44" t="str">
        <x:f>IF(D44="Chef","Mythic",IF(F44="Yes","Rare",IF(OR(D44="Meal",D44="Spice",D44="Environment"),"Uncommon","Common")))</x:f>
        <x:v>Rare</x:v>
      </x:c>
      <x:c r="H44" s="49" t="n">
        <x:v>1</x:v>
      </x:c>
      <x:c r="I44" s="49" t="n">
        <x:v>1</x:v>
      </x:c>
      <x:c r="J44" s="44" t="str">
        <x:v>Funky</x:v>
      </x:c>
      <x:c r="K44" s="50" t="str">
        <x:v>No additional cost</x:v>
      </x:c>
      <x:c r="L44" s="50" t="str">
        <x:v>Discard this from hand</x:v>
      </x:c>
      <x:c r="M44" s="49" t="n">
        <x:v>0</x:v>
      </x:c>
      <x:c r="N44" s="49" t="n">
        <x:v>0</x:v>
      </x:c>
      <x:c r="O44" s="49" t="n">
        <x:f>IF(D44="Meal",M44,N44)</x:f>
        <x:v>0</x:v>
      </x:c>
      <x:c r="P44" s="49" t="n">
        <x:f>IF(G44="Mythic",10,IF(G44="Rare",7,IF(G44="Uncommon",4,2)))</x:f>
        <x:v>7</x:v>
      </x:c>
      <x:c r="Q44" s="50" t="str">
        <x:v>Hand Trap — when your opponent uses a Chef, discard this to negate it.</x:v>
      </x:c>
      <x:c r="R44" s="50" t="str">
        <x:v>Generic unit play/combat | hand_trap: enemy_chef → negate | keywords: hand_trap</x:v>
      </x:c>
      <x:c r="S44" s="54" t="str">
        <x:v>Implemented</x:v>
      </x:c>
      <x:c r="T44" s="50" t="str">
        <x:v>data/cards.json + CookingCombatService.gd</x:v>
      </x:c>
    </x:row>
    <x:row r="45" ht="45" customHeight="1">
      <x:c r="A45" s="44" t="str">
        <x:v>Quinoa Fly Trap</x:v>
      </x:c>
      <x:c r="B45" s="44" t="str"/>
      <x:c r="C45" s="44" t="str">
        <x:v>spicy_pantry_pouncer</x:v>
      </x:c>
      <x:c r="D45" s="44" t="str">
        <x:v>Ingredient</x:v>
      </x:c>
      <x:c r="E45" s="44" t="str">
        <x:v>Spicy</x:v>
      </x:c>
      <x:c r="F45" s="44" t="str">
        <x:v>Yes</x:v>
      </x:c>
      <x:c r="G45" s="44" t="str">
        <x:f>IF(D45="Chef","Mythic",IF(F45="Yes","Rare",IF(OR(D45="Meal",D45="Spice",D45="Environment"),"Uncommon","Common")))</x:f>
        <x:v>Rare</x:v>
      </x:c>
      <x:c r="H45" s="49" t="n">
        <x:v>1</x:v>
      </x:c>
      <x:c r="I45" s="49" t="n">
        <x:v>1</x:v>
      </x:c>
      <x:c r="J45" s="44" t="str">
        <x:v>Spicy</x:v>
      </x:c>
      <x:c r="K45" s="50" t="str">
        <x:v>No additional cost</x:v>
      </x:c>
      <x:c r="L45" s="50" t="str">
        <x:v>Discard this from hand</x:v>
      </x:c>
      <x:c r="M45" s="49" t="n">
        <x:v>0</x:v>
      </x:c>
      <x:c r="N45" s="49" t="n">
        <x:v>0</x:v>
      </x:c>
      <x:c r="O45" s="49" t="n">
        <x:f>IF(D45="Meal",M45,N45)</x:f>
        <x:v>0</x:v>
      </x:c>
      <x:c r="P45" s="49" t="n">
        <x:f>IF(G45="Mythic",10,IF(G45="Rare",7,IF(G45="Uncommon",4,2)))</x:f>
        <x:v>7</x:v>
      </x:c>
      <x:c r="Q45" s="50" t="str">
        <x:v>Hand Trap — when your opponent plays an Ingredient, discard this to destroy it after its on-play effect resolves.</x:v>
      </x:c>
      <x:c r="R45" s="50" t="str">
        <x:v>Generic unit play/combat | hand_trap: enemy_ingredient_played → destroy_source | keywords: hand_trap</x:v>
      </x:c>
      <x:c r="S45" s="54" t="str">
        <x:v>Implemented</x:v>
      </x:c>
      <x:c r="T45" s="50" t="str">
        <x:v>data/cards.json + CookingCombatService.gd</x:v>
      </x:c>
    </x:row>
    <x:row r="46" ht="45" customHeight="1">
      <x:c r="A46" s="44" t="str">
        <x:v>Tamari Toad</x:v>
      </x:c>
      <x:c r="B46" s="44" t="str"/>
      <x:c r="C46" s="44" t="str">
        <x:v>funky_toolbox_toad</x:v>
      </x:c>
      <x:c r="D46" s="44" t="str">
        <x:v>Ingredient</x:v>
      </x:c>
      <x:c r="E46" s="44" t="str">
        <x:v>Funky</x:v>
      </x:c>
      <x:c r="F46" s="44" t="str">
        <x:v>Yes</x:v>
      </x:c>
      <x:c r="G46" s="44" t="str">
        <x:f>IF(D46="Chef","Mythic",IF(F46="Yes","Rare",IF(OR(D46="Meal",D46="Spice",D46="Environment"),"Uncommon","Common")))</x:f>
        <x:v>Rare</x:v>
      </x:c>
      <x:c r="H46" s="49" t="n">
        <x:v>1</x:v>
      </x:c>
      <x:c r="I46" s="49" t="n">
        <x:v>1</x:v>
      </x:c>
      <x:c r="J46" s="44" t="str">
        <x:v>Funky</x:v>
      </x:c>
      <x:c r="K46" s="50" t="str">
        <x:v>No additional cost</x:v>
      </x:c>
      <x:c r="L46" s="50" t="str">
        <x:v>Discard this from hand</x:v>
      </x:c>
      <x:c r="M46" s="49" t="n">
        <x:v>0</x:v>
      </x:c>
      <x:c r="N46" s="49" t="n">
        <x:v>0</x:v>
      </x:c>
      <x:c r="O46" s="49" t="n">
        <x:f>IF(D46="Meal",M46,N46)</x:f>
        <x:v>0</x:v>
      </x:c>
      <x:c r="P46" s="49" t="n">
        <x:f>IF(G46="Mythic",10,IF(G46="Rare",7,IF(G46="Uncommon",4,2)))</x:f>
        <x:v>7</x:v>
      </x:c>
      <x:c r="Q46" s="50" t="str">
        <x:v>Hand Trap — when your opponent uses a Tool, discard this to negate it.</x:v>
      </x:c>
      <x:c r="R46" s="50" t="str">
        <x:v>Generic unit play/combat | hand_trap: enemy_tool → negate | keywords: hand_trap</x:v>
      </x:c>
      <x:c r="S46" s="54" t="str">
        <x:v>Implemented</x:v>
      </x:c>
      <x:c r="T46" s="50" t="str">
        <x:v>data/cards.json + CookingCombatService.gd</x:v>
      </x:c>
    </x:row>
    <x:row r="47" ht="45" customHeight="1">
      <x:c r="A47" s="44" t="str">
        <x:v>Ability Axolotl</x:v>
      </x:c>
      <x:c r="B47" s="44" t="str"/>
      <x:c r="C47" s="44" t="str">
        <x:v>sweet_ability_axolotl</x:v>
      </x:c>
      <x:c r="D47" s="44" t="str">
        <x:v>Ingredient</x:v>
      </x:c>
      <x:c r="E47" s="44" t="str">
        <x:v>Sweet</x:v>
      </x:c>
      <x:c r="F47" s="44" t="str">
        <x:v>Yes</x:v>
      </x:c>
      <x:c r="G47" s="44" t="str">
        <x:f>IF(D47="Chef","Mythic",IF(F47="Yes","Rare",IF(OR(D47="Meal",D47="Spice",D47="Environment"),"Uncommon","Common")))</x:f>
        <x:v>Rare</x:v>
      </x:c>
      <x:c r="H47" s="49" t="n">
        <x:v>1</x:v>
      </x:c>
      <x:c r="I47" s="49" t="n">
        <x:v>1</x:v>
      </x:c>
      <x:c r="J47" s="44" t="str">
        <x:v>Sweet</x:v>
      </x:c>
      <x:c r="K47" s="50" t="str">
        <x:v>No additional cost</x:v>
      </x:c>
      <x:c r="L47" s="50" t="str">
        <x:v>Discard this from hand</x:v>
      </x:c>
      <x:c r="M47" s="49" t="n">
        <x:v>0</x:v>
      </x:c>
      <x:c r="N47" s="49" t="n">
        <x:v>0</x:v>
      </x:c>
      <x:c r="O47" s="49" t="n">
        <x:f>IF(D47="Meal",M47,N47)</x:f>
        <x:v>0</x:v>
      </x:c>
      <x:c r="P47" s="49" t="n">
        <x:f>IF(G47="Mythic",10,IF(G47="Rare",7,IF(G47="Uncommon",4,2)))</x:f>
        <x:v>7</x:v>
      </x:c>
      <x:c r="Q47" s="50" t="str">
        <x:v>Hand Trap — when your opponent activates a unit ability, discard this to negate that ability. Its costs remain paid.</x:v>
      </x:c>
      <x:c r="R47" s="50" t="str">
        <x:v>Generic unit play/combat | hand_trap: enemy_activated_ability → negate | keywords: hand_trap</x:v>
      </x:c>
      <x:c r="S47" s="54" t="str">
        <x:v>Implemented</x:v>
      </x:c>
      <x:c r="T47" s="50" t="str">
        <x:v>data/cards.json + CookingCombatService.gd</x:v>
      </x:c>
    </x:row>
    <x:row r="48" ht="45" customHeight="1">
      <x:c r="A48" s="44" t="str">
        <x:v>Comeback Cucumber Corgi</x:v>
      </x:c>
      <x:c r="B48" s="44" t="str"/>
      <x:c r="C48" s="44" t="str">
        <x:v>fresh_comeback_corgi</x:v>
      </x:c>
      <x:c r="D48" s="44" t="str">
        <x:v>Ingredient</x:v>
      </x:c>
      <x:c r="E48" s="44" t="str">
        <x:v>Fresh</x:v>
      </x:c>
      <x:c r="F48" s="44" t="str">
        <x:v>Yes</x:v>
      </x:c>
      <x:c r="G48" s="44" t="str">
        <x:f>IF(D48="Chef","Mythic",IF(F48="Yes","Rare",IF(OR(D48="Meal",D48="Spice",D48="Environment"),"Uncommon","Common")))</x:f>
        <x:v>Rare</x:v>
      </x:c>
      <x:c r="H48" s="49" t="n">
        <x:v>1</x:v>
      </x:c>
      <x:c r="I48" s="49" t="n">
        <x:v>1</x:v>
      </x:c>
      <x:c r="J48" s="44" t="str">
        <x:v>Fresh</x:v>
      </x:c>
      <x:c r="K48" s="50" t="str">
        <x:v>No additional cost</x:v>
      </x:c>
      <x:c r="L48" s="50" t="str">
        <x:v>Play this from hand as the reaction</x:v>
      </x:c>
      <x:c r="M48" s="49" t="n">
        <x:v>0</x:v>
      </x:c>
      <x:c r="N48" s="49" t="n">
        <x:v>0</x:v>
      </x:c>
      <x:c r="O48" s="49" t="n">
        <x:f>IF(D48="Meal",M48,N48)</x:f>
        <x:v>0</x:v>
      </x:c>
      <x:c r="P48" s="49" t="n">
        <x:f>IF(G48="Mythic",10,IF(G48="Rare",7,IF(G48="Uncommon",4,2)))</x:f>
        <x:v>7</x:v>
      </x:c>
      <x:c r="Q48" s="50" t="str">
        <x:v>After your Chef takes damage, if your Plated and Prep areas have room, you may play this Plated and create a 1/1 Fresh Ingredient token in Prep. That token becomes recipe-ready next turn.</x:v>
      </x:c>
      <x:c r="R48" s="50" t="str">
        <x:v>Generic unit play/combat | hand_trigger: friendly_chef_damaged → play_self_and_create_token</x:v>
      </x:c>
      <x:c r="S48" s="54" t="str">
        <x:v>Implemented</x:v>
      </x:c>
      <x:c r="T48" s="50" t="str">
        <x:v>data/cards.json + CookingCombatService.gd</x:v>
      </x:c>
    </x:row>
    <x:row r="49" ht="45" customHeight="1">
      <x:c r="A49" s="44" t="str">
        <x:v>Crisp Capybara</x:v>
      </x:c>
      <x:c r="B49" s="44" t="str"/>
      <x:c r="C49" s="44" t="str">
        <x:v>fresh_crisp_capybara</x:v>
      </x:c>
      <x:c r="D49" s="44" t="str">
        <x:v>Ingredient</x:v>
      </x:c>
      <x:c r="E49" s="44" t="str">
        <x:v>Fresh</x:v>
      </x:c>
      <x:c r="F49" s="44" t="str">
        <x:v>No</x:v>
      </x:c>
      <x:c r="G49" s="44" t="str">
        <x:f>IF(D49="Chef","Mythic",IF(F49="Yes","Rare",IF(OR(D49="Meal",D49="Spice",D49="Environment"),"Uncommon","Common")))</x:f>
        <x:v>Common</x:v>
      </x:c>
      <x:c r="H49" s="49" t="n">
        <x:v>2</x:v>
      </x:c>
      <x:c r="I49" s="49" t="n">
        <x:v>3</x:v>
      </x:c>
      <x:c r="J49" s="44" t="str">
        <x:v>Fresh</x:v>
      </x:c>
      <x:c r="K49" s="50" t="str">
        <x:v>No additional cost</x:v>
      </x:c>
      <x:c r="L49" s="50" t="str">
        <x:v>—</x:v>
      </x:c>
      <x:c r="M49" s="49" t="n">
        <x:v>0</x:v>
      </x:c>
      <x:c r="N49" s="49" t="n">
        <x:v>0</x:v>
      </x:c>
      <x:c r="O49" s="49" t="n">
        <x:f>IF(D49="Meal",M49,N49)</x:f>
        <x:v>0</x:v>
      </x:c>
      <x:c r="P49" s="49" t="n">
        <x:f>IF(G49="Mythic",10,IF(G49="Rare",7,IF(G49="Uncommon",4,2)))</x:f>
        <x:v>2</x:v>
      </x:c>
      <x:c r="Q49" s="50" t="str">
        <x:v>No additional effect.</x:v>
      </x:c>
      <x:c r="R49" s="50" t="str">
        <x:v>Generic unit play/combat</x:v>
      </x:c>
      <x:c r="S49" s="54" t="str">
        <x:v>Implemented</x:v>
      </x:c>
      <x:c r="T49" s="50" t="str">
        <x:v>data/cards.json + CookingCombatService.gd</x:v>
      </x:c>
    </x:row>
    <x:row r="50" ht="45" customHeight="1">
      <x:c r="A50" s="44" t="str">
        <x:v>Sprout Squirrel</x:v>
      </x:c>
      <x:c r="B50" s="44" t="str"/>
      <x:c r="C50" s="44" t="str">
        <x:v>fresh_sprout_squirrel</x:v>
      </x:c>
      <x:c r="D50" s="44" t="str">
        <x:v>Ingredient</x:v>
      </x:c>
      <x:c r="E50" s="44" t="str">
        <x:v>Fresh</x:v>
      </x:c>
      <x:c r="F50" s="44" t="str">
        <x:v>No</x:v>
      </x:c>
      <x:c r="G50" s="44" t="str">
        <x:f>IF(D50="Chef","Mythic",IF(F50="Yes","Rare",IF(OR(D50="Meal",D50="Spice",D50="Environment"),"Uncommon","Common")))</x:f>
        <x:v>Common</x:v>
      </x:c>
      <x:c r="H50" s="49" t="n">
        <x:v>1</x:v>
      </x:c>
      <x:c r="I50" s="49" t="n">
        <x:v>2</x:v>
      </x:c>
      <x:c r="J50" s="44" t="str">
        <x:v>Fresh</x:v>
      </x:c>
      <x:c r="K50" s="50" t="str">
        <x:v>No additional cost</x:v>
      </x:c>
      <x:c r="L50" s="50" t="str">
        <x:v>—</x:v>
      </x:c>
      <x:c r="M50" s="49" t="n">
        <x:v>0</x:v>
      </x:c>
      <x:c r="N50" s="49" t="n">
        <x:v>0</x:v>
      </x:c>
      <x:c r="O50" s="49" t="n">
        <x:f>IF(D50="Meal",M50,N50)</x:f>
        <x:v>0</x:v>
      </x:c>
      <x:c r="P50" s="49" t="n">
        <x:f>IF(G50="Mythic",10,IF(G50="Rare",7,IF(G50="Uncommon",4,2)))</x:f>
        <x:v>2</x:v>
      </x:c>
      <x:c r="Q50" s="50" t="str">
        <x:v>When played, create a 1/1 Fresh Ingredient token in Prep if there is room.</x:v>
      </x:c>
      <x:c r="R50" s="50" t="str">
        <x:v>Generic unit play/combat | on_play: create_token</x:v>
      </x:c>
      <x:c r="S50" s="54" t="str">
        <x:v>Implemented</x:v>
      </x:c>
      <x:c r="T50" s="50" t="str">
        <x:v>data/cards.json + CookingCombatService.gd</x:v>
      </x:c>
    </x:row>
    <x:row r="51" ht="45" customHeight="1">
      <x:c r="A51" s="44" t="str">
        <x:v>Feta Ferret</x:v>
      </x:c>
      <x:c r="B51" s="44" t="str"/>
      <x:c r="C51" s="44" t="str">
        <x:v>funky_fondue_ferret</x:v>
      </x:c>
      <x:c r="D51" s="44" t="str">
        <x:v>Ingredient</x:v>
      </x:c>
      <x:c r="E51" s="44" t="str">
        <x:v>Funky</x:v>
      </x:c>
      <x:c r="F51" s="44" t="str">
        <x:v>No</x:v>
      </x:c>
      <x:c r="G51" s="44" t="str">
        <x:f>IF(D51="Chef","Mythic",IF(F51="Yes","Rare",IF(OR(D51="Meal",D51="Spice",D51="Environment"),"Uncommon","Common")))</x:f>
        <x:v>Common</x:v>
      </x:c>
      <x:c r="H51" s="49" t="n">
        <x:v>2</x:v>
      </x:c>
      <x:c r="I51" s="49" t="n">
        <x:v>3</x:v>
      </x:c>
      <x:c r="J51" s="44" t="str">
        <x:v>Funky</x:v>
      </x:c>
      <x:c r="K51" s="50" t="str">
        <x:v>No additional cost</x:v>
      </x:c>
      <x:c r="L51" s="50" t="str">
        <x:v>—</x:v>
      </x:c>
      <x:c r="M51" s="49" t="n">
        <x:v>0</x:v>
      </x:c>
      <x:c r="N51" s="49" t="n">
        <x:v>0</x:v>
      </x:c>
      <x:c r="O51" s="49" t="n">
        <x:f>IF(D51="Meal",M51,N51)</x:f>
        <x:v>0</x:v>
      </x:c>
      <x:c r="P51" s="49" t="n">
        <x:f>IF(G51="Mythic",10,IF(G51="Rare",7,IF(G51="Uncommon",4,2)))</x:f>
        <x:v>2</x:v>
      </x:c>
      <x:c r="Q51" s="50" t="str">
        <x:v>No additional effect.</x:v>
      </x:c>
      <x:c r="R51" s="50" t="str">
        <x:v>Generic unit play/combat</x:v>
      </x:c>
      <x:c r="S51" s="54" t="str">
        <x:v>Implemented</x:v>
      </x:c>
      <x:c r="T51" s="50" t="str">
        <x:v>data/cards.json + CookingCombatService.gd</x:v>
      </x:c>
    </x:row>
    <x:row r="52" ht="45" customHeight="1">
      <x:c r="A52" s="44" t="str">
        <x:v>Pickled Turnip Turtle</x:v>
      </x:c>
      <x:c r="B52" s="44" t="str"/>
      <x:c r="C52" s="44" t="str">
        <x:v>funky_turniptable_turtle</x:v>
      </x:c>
      <x:c r="D52" s="44" t="str">
        <x:v>Ingredient</x:v>
      </x:c>
      <x:c r="E52" s="44" t="str">
        <x:v>Funky</x:v>
      </x:c>
      <x:c r="F52" s="44" t="str">
        <x:v>No</x:v>
      </x:c>
      <x:c r="G52" s="44" t="str">
        <x:f>IF(D52="Chef","Mythic",IF(F52="Yes","Rare",IF(OR(D52="Meal",D52="Spice",D52="Environment"),"Uncommon","Common")))</x:f>
        <x:v>Common</x:v>
      </x:c>
      <x:c r="H52" s="49" t="n">
        <x:v>1</x:v>
      </x:c>
      <x:c r="I52" s="49" t="n">
        <x:v>2</x:v>
      </x:c>
      <x:c r="J52" s="44" t="str">
        <x:v>Funky</x:v>
      </x:c>
      <x:c r="K52" s="50" t="str">
        <x:v>No additional cost</x:v>
      </x:c>
      <x:c r="L52" s="50" t="str">
        <x:v>—</x:v>
      </x:c>
      <x:c r="M52" s="49" t="n">
        <x:v>0</x:v>
      </x:c>
      <x:c r="N52" s="49" t="n">
        <x:v>0</x:v>
      </x:c>
      <x:c r="O52" s="49" t="n">
        <x:f>IF(D52="Meal",M52,N52)</x:f>
        <x:v>0</x:v>
      </x:c>
      <x:c r="P52" s="49" t="n">
        <x:f>IF(G52="Mythic",10,IF(G52="Rare",7,IF(G52="Uncommon",4,2)))</x:f>
        <x:v>2</x:v>
      </x:c>
      <x:c r="Q52" s="50" t="str">
        <x:v>While in Prep, once per turn discard the top card of your deck. If it is a unit, this gets +1/+1.</x:v>
      </x:c>
      <x:c r="R52" s="50" t="str">
        <x:v>Generic unit play/combat | activated turniptable_mill: discard_top_then_buff_if_unit</x:v>
      </x:c>
      <x:c r="S52" s="54" t="str">
        <x:v>Implemented</x:v>
      </x:c>
      <x:c r="T52" s="50" t="str">
        <x:v>data/cards.json + CookingCombatService.gd</x:v>
      </x:c>
    </x:row>
    <x:row r="53" ht="45" customHeight="1">
      <x:c r="A53" s="44" t="str">
        <x:v>Bagver</x:v>
      </x:c>
      <x:c r="B53" s="44" t="str"/>
      <x:c r="C53" s="44" t="str">
        <x:v>hearty_bagver</x:v>
      </x:c>
      <x:c r="D53" s="44" t="str">
        <x:v>Ingredient</x:v>
      </x:c>
      <x:c r="E53" s="44" t="str">
        <x:v>Hearty</x:v>
      </x:c>
      <x:c r="F53" s="44" t="str">
        <x:v>No</x:v>
      </x:c>
      <x:c r="G53" s="44" t="str">
        <x:f>IF(D53="Chef","Mythic",IF(F53="Yes","Rare",IF(OR(D53="Meal",D53="Spice",D53="Environment"),"Uncommon","Common")))</x:f>
        <x:v>Common</x:v>
      </x:c>
      <x:c r="H53" s="49" t="n">
        <x:v>1</x:v>
      </x:c>
      <x:c r="I53" s="49" t="n">
        <x:v>2</x:v>
      </x:c>
      <x:c r="J53" s="44" t="str">
        <x:v>Hearty</x:v>
      </x:c>
      <x:c r="K53" s="50" t="str">
        <x:v>No additional cost</x:v>
      </x:c>
      <x:c r="L53" s="50" t="str">
        <x:v>—</x:v>
      </x:c>
      <x:c r="M53" s="49" t="n">
        <x:v>0</x:v>
      </x:c>
      <x:c r="N53" s="49" t="n">
        <x:v>0</x:v>
      </x:c>
      <x:c r="O53" s="49" t="n">
        <x:f>IF(D53="Meal",M53,N53)</x:f>
        <x:v>0</x:v>
      </x:c>
      <x:c r="P53" s="49" t="n">
        <x:f>IF(G53="Mythic",10,IF(G53="Rare",7,IF(G53="Uncommon",4,2)))</x:f>
        <x:v>2</x:v>
      </x:c>
      <x:c r="Q53" s="50" t="str">
        <x:v>When sacrificed, heal your chef for 1.</x:v>
      </x:c>
      <x:c r="R53" s="50" t="str">
        <x:v>Generic unit play/combat | on_sacrifice: heal_player</x:v>
      </x:c>
      <x:c r="S53" s="54" t="str">
        <x:v>Implemented</x:v>
      </x:c>
      <x:c r="T53" s="50" t="str">
        <x:v>data/cards.json + CookingCombatService.gd</x:v>
      </x:c>
    </x:row>
    <x:row r="54" ht="45" customHeight="1">
      <x:c r="A54" s="44" t="str">
        <x:v>French Bread Dog</x:v>
      </x:c>
      <x:c r="B54" s="44" t="str"/>
      <x:c r="C54" s="44" t="str">
        <x:v>hearty_french_bread_dog</x:v>
      </x:c>
      <x:c r="D54" s="44" t="str">
        <x:v>Ingredient</x:v>
      </x:c>
      <x:c r="E54" s="44" t="str">
        <x:v>Hearty</x:v>
      </x:c>
      <x:c r="F54" s="44" t="str">
        <x:v>No</x:v>
      </x:c>
      <x:c r="G54" s="44" t="str">
        <x:f>IF(D54="Chef","Mythic",IF(F54="Yes","Rare",IF(OR(D54="Meal",D54="Spice",D54="Environment"),"Uncommon","Common")))</x:f>
        <x:v>Common</x:v>
      </x:c>
      <x:c r="H54" s="49" t="n">
        <x:v>1</x:v>
      </x:c>
      <x:c r="I54" s="49" t="n">
        <x:v>2</x:v>
      </x:c>
      <x:c r="J54" s="44" t="str">
        <x:v>Hearty</x:v>
      </x:c>
      <x:c r="K54" s="50" t="str">
        <x:v>No additional cost</x:v>
      </x:c>
      <x:c r="L54" s="50" t="str">
        <x:v>—</x:v>
      </x:c>
      <x:c r="M54" s="49" t="n">
        <x:v>0</x:v>
      </x:c>
      <x:c r="N54" s="49" t="n">
        <x:v>0</x:v>
      </x:c>
      <x:c r="O54" s="49" t="n">
        <x:f>IF(D54="Meal",M54,N54)</x:f>
        <x:v>0</x:v>
      </x:c>
      <x:c r="P54" s="49" t="n">
        <x:f>IF(G54="Mythic",10,IF(G54="Rare",7,IF(G54="Uncommon",4,2)))</x:f>
        <x:v>2</x:v>
      </x:c>
      <x:c r="Q54" s="50" t="str">
        <x:v>Taunt — this Plated card must be attacked first.</x:v>
      </x:c>
      <x:c r="R54" s="50" t="str">
        <x:v>Generic unit play/combat | keywords: taunt</x:v>
      </x:c>
      <x:c r="S54" s="54" t="str">
        <x:v>Implemented</x:v>
      </x:c>
      <x:c r="T54" s="50" t="str">
        <x:v>data/cards.json + CookingCombatService.gd</x:v>
      </x:c>
    </x:row>
    <x:row r="55" ht="45" customHeight="1">
      <x:c r="A55" s="44" t="str">
        <x:v>Macaronatee</x:v>
      </x:c>
      <x:c r="B55" s="44" t="str">
        <x:v>Macaroni Manatee</x:v>
      </x:c>
      <x:c r="C55" s="44" t="str">
        <x:v>hearty_macaroni_manatee</x:v>
      </x:c>
      <x:c r="D55" s="44" t="str">
        <x:v>Ingredient</x:v>
      </x:c>
      <x:c r="E55" s="44" t="str">
        <x:v>Hearty</x:v>
      </x:c>
      <x:c r="F55" s="44" t="str">
        <x:v>No</x:v>
      </x:c>
      <x:c r="G55" s="44" t="str">
        <x:f>IF(D55="Chef","Mythic",IF(F55="Yes","Rare",IF(OR(D55="Meal",D55="Spice",D55="Environment"),"Uncommon","Common")))</x:f>
        <x:v>Common</x:v>
      </x:c>
      <x:c r="H55" s="49" t="n">
        <x:v>2</x:v>
      </x:c>
      <x:c r="I55" s="49" t="n">
        <x:v>3</x:v>
      </x:c>
      <x:c r="J55" s="44" t="str">
        <x:v>Hearty</x:v>
      </x:c>
      <x:c r="K55" s="50" t="str">
        <x:v>No additional cost</x:v>
      </x:c>
      <x:c r="L55" s="50" t="str">
        <x:v>—</x:v>
      </x:c>
      <x:c r="M55" s="49" t="n">
        <x:v>0</x:v>
      </x:c>
      <x:c r="N55" s="49" t="n">
        <x:v>0</x:v>
      </x:c>
      <x:c r="O55" s="49" t="n">
        <x:f>IF(D55="Meal",M55,N55)</x:f>
        <x:v>0</x:v>
      </x:c>
      <x:c r="P55" s="49" t="n">
        <x:f>IF(G55="Mythic",10,IF(G55="Rare",7,IF(G55="Uncommon",4,2)))</x:f>
        <x:v>2</x:v>
      </x:c>
      <x:c r="Q55" s="50" t="str">
        <x:v>No additional effect.</x:v>
      </x:c>
      <x:c r="R55" s="50" t="str">
        <x:v>Generic unit play/combat</x:v>
      </x:c>
      <x:c r="S55" s="54" t="str">
        <x:v>Implemented</x:v>
      </x:c>
      <x:c r="T55" s="50" t="str">
        <x:v>data/cards.json + CookingCombatService.gd</x:v>
      </x:c>
    </x:row>
    <x:row r="56" ht="45" customHeight="1">
      <x:c r="A56" s="44" t="str">
        <x:v>Ramen</x:v>
      </x:c>
      <x:c r="B56" s="44" t="str">
        <x:v>Ramen Ram</x:v>
      </x:c>
      <x:c r="C56" s="44" t="str">
        <x:v>hearty_ramen_ram</x:v>
      </x:c>
      <x:c r="D56" s="44" t="str">
        <x:v>Ingredient</x:v>
      </x:c>
      <x:c r="E56" s="44" t="str">
        <x:v>Hearty</x:v>
      </x:c>
      <x:c r="F56" s="44" t="str">
        <x:v>No</x:v>
      </x:c>
      <x:c r="G56" s="44" t="str">
        <x:f>IF(D56="Chef","Mythic",IF(F56="Yes","Rare",IF(OR(D56="Meal",D56="Spice",D56="Environment"),"Uncommon","Common")))</x:f>
        <x:v>Common</x:v>
      </x:c>
      <x:c r="H56" s="49" t="n">
        <x:v>1</x:v>
      </x:c>
      <x:c r="I56" s="49" t="n">
        <x:v>1</x:v>
      </x:c>
      <x:c r="J56" s="44" t="str">
        <x:v>Hearty</x:v>
      </x:c>
      <x:c r="K56" s="50" t="str">
        <x:v>No additional cost</x:v>
      </x:c>
      <x:c r="L56" s="50" t="str">
        <x:v>—</x:v>
      </x:c>
      <x:c r="M56" s="49" t="n">
        <x:v>0</x:v>
      </x:c>
      <x:c r="N56" s="49" t="n">
        <x:v>0</x:v>
      </x:c>
      <x:c r="O56" s="49" t="n">
        <x:f>IF(D56="Meal",M56,N56)</x:f>
        <x:v>0</x:v>
      </x:c>
      <x:c r="P56" s="49" t="n">
        <x:f>IF(G56="Mythic",10,IF(G56="Rare",7,IF(G56="Uncommon",4,2)))</x:f>
        <x:v>2</x:v>
      </x:c>
      <x:c r="Q56" s="50" t="str">
        <x:v>When played, give one of your units +1 attack.</x:v>
      </x:c>
      <x:c r="R56" s="50" t="str">
        <x:v>Generic unit play/combat | on_play: buff_friendly_unit</x:v>
      </x:c>
      <x:c r="S56" s="54" t="str">
        <x:v>Implemented</x:v>
      </x:c>
      <x:c r="T56" s="50" t="str">
        <x:v>data/cards.json + CookingCombatService.gd</x:v>
      </x:c>
    </x:row>
    <x:row r="57" ht="45" customHeight="1">
      <x:c r="A57" s="44" t="str">
        <x:v>Baked Potangolin</x:v>
      </x:c>
      <x:c r="B57" s="44" t="str">
        <x:v>Baked Potato Pangolin</x:v>
      </x:c>
      <x:c r="C57" s="44" t="str">
        <x:v>hearty_baked_potato_pangolin</x:v>
      </x:c>
      <x:c r="D57" s="44" t="str">
        <x:v>Ingredient</x:v>
      </x:c>
      <x:c r="E57" s="44" t="str">
        <x:v>Hearty</x:v>
      </x:c>
      <x:c r="F57" s="44" t="str">
        <x:v>Yes</x:v>
      </x:c>
      <x:c r="G57" s="44" t="str">
        <x:f>IF(D57="Chef","Mythic",IF(F57="Yes","Rare",IF(OR(D57="Meal",D57="Spice",D57="Environment"),"Uncommon","Common")))</x:f>
        <x:v>Rare</x:v>
      </x:c>
      <x:c r="H57" s="49" t="n">
        <x:v>2</x:v>
      </x:c>
      <x:c r="I57" s="49" t="n">
        <x:v>1</x:v>
      </x:c>
      <x:c r="J57" s="44" t="str">
        <x:v>Hearty</x:v>
      </x:c>
      <x:c r="K57" s="50" t="str">
        <x:v>No additional cost</x:v>
      </x:c>
      <x:c r="L57" s="50" t="str">
        <x:v>—</x:v>
      </x:c>
      <x:c r="M57" s="49" t="n">
        <x:v>0</x:v>
      </x:c>
      <x:c r="N57" s="49" t="n">
        <x:v>0</x:v>
      </x:c>
      <x:c r="O57" s="49" t="n">
        <x:f>IF(D57="Meal",M57,N57)</x:f>
        <x:v>0</x:v>
      </x:c>
      <x:c r="P57" s="49" t="n">
        <x:f>IF(G57="Mythic",10,IF(G57="Rare",7,IF(G57="Uncommon",4,2)))</x:f>
        <x:v>7</x:v>
      </x:c>
      <x:c r="Q57" s="50" t="str">
        <x:v>When played, give a Plated unit +2 attack this turn.</x:v>
      </x:c>
      <x:c r="R57" s="50" t="str">
        <x:v>Generic unit play/combat | on_play: buff_friendly_plated</x:v>
      </x:c>
      <x:c r="S57" s="54" t="str">
        <x:v>Implemented</x:v>
      </x:c>
      <x:c r="T57" s="50" t="str">
        <x:v>data/cards.json + CookingCombatService.gd</x:v>
      </x:c>
    </x:row>
    <x:row r="58" ht="45" customHeight="1">
      <x:c r="A58" s="44" t="str">
        <x:v>Lentils</x:v>
      </x:c>
      <x:c r="B58" s="44" t="str">
        <x:v>Lemming Lentils</x:v>
      </x:c>
      <x:c r="C58" s="44" t="str">
        <x:v>hearty_lemming_lentils</x:v>
      </x:c>
      <x:c r="D58" s="44" t="str">
        <x:v>Ingredient</x:v>
      </x:c>
      <x:c r="E58" s="44" t="str">
        <x:v>Hearty</x:v>
      </x:c>
      <x:c r="F58" s="44" t="str">
        <x:v>Yes</x:v>
      </x:c>
      <x:c r="G58" s="44" t="str">
        <x:f>IF(D58="Chef","Mythic",IF(F58="Yes","Rare",IF(OR(D58="Meal",D58="Spice",D58="Environment"),"Uncommon","Common")))</x:f>
        <x:v>Rare</x:v>
      </x:c>
      <x:c r="H58" s="49" t="n">
        <x:v>2</x:v>
      </x:c>
      <x:c r="I58" s="49" t="n">
        <x:v>1</x:v>
      </x:c>
      <x:c r="J58" s="44" t="str">
        <x:v>Hearty</x:v>
      </x:c>
      <x:c r="K58" s="50" t="str">
        <x:v>No additional cost</x:v>
      </x:c>
      <x:c r="L58" s="50" t="str">
        <x:v>—</x:v>
      </x:c>
      <x:c r="M58" s="49" t="n">
        <x:v>0</x:v>
      </x:c>
      <x:c r="N58" s="49" t="n">
        <x:v>0</x:v>
      </x:c>
      <x:c r="O58" s="49" t="n">
        <x:f>IF(D58="Meal",M58,N58)</x:f>
        <x:v>0</x:v>
      </x:c>
      <x:c r="P58" s="49" t="n">
        <x:f>IF(G58="Mythic",10,IF(G58="Rare",7,IF(G58="Uncommon",4,2)))</x:f>
        <x:v>7</x:v>
      </x:c>
      <x:c r="Q58" s="50" t="str">
        <x:v>When played, search your deck for a Hearty meal.</x:v>
      </x:c>
      <x:c r="R58" s="50" t="str">
        <x:v>Generic unit play/combat | on_play: search</x:v>
      </x:c>
      <x:c r="S58" s="54" t="str">
        <x:v>Implemented</x:v>
      </x:c>
      <x:c r="T58" s="50" t="str">
        <x:v>data/cards.json + CookingCombatService.gd</x:v>
      </x:c>
    </x:row>
    <x:row r="59" ht="45" customHeight="1">
      <x:c r="A59" s="44" t="str">
        <x:v>Bacon</x:v>
      </x:c>
      <x:c r="B59" s="44" t="str">
        <x:v>Bird Beakon</x:v>
      </x:c>
      <x:c r="C59" s="44" t="str">
        <x:v>hearty_bird_beakon</x:v>
      </x:c>
      <x:c r="D59" s="44" t="str">
        <x:v>Ingredient</x:v>
      </x:c>
      <x:c r="E59" s="44" t="str">
        <x:v>Hearty</x:v>
      </x:c>
      <x:c r="F59" s="44" t="str">
        <x:v>No</x:v>
      </x:c>
      <x:c r="G59" s="44" t="str">
        <x:f>IF(D59="Chef","Mythic",IF(F59="Yes","Rare",IF(OR(D59="Meal",D59="Spice",D59="Environment"),"Uncommon","Common")))</x:f>
        <x:v>Common</x:v>
      </x:c>
      <x:c r="H59" s="49" t="n">
        <x:v>2</x:v>
      </x:c>
      <x:c r="I59" s="49" t="n">
        <x:v>1</x:v>
      </x:c>
      <x:c r="J59" s="44" t="str">
        <x:v>Hearty</x:v>
      </x:c>
      <x:c r="K59" s="50" t="str">
        <x:v>No additional cost</x:v>
      </x:c>
      <x:c r="L59" s="50" t="str">
        <x:v>—</x:v>
      </x:c>
      <x:c r="M59" s="49" t="n">
        <x:v>0</x:v>
      </x:c>
      <x:c r="N59" s="49" t="n">
        <x:v>0</x:v>
      </x:c>
      <x:c r="O59" s="49" t="n">
        <x:f>IF(D59="Meal",M59,N59)</x:f>
        <x:v>0</x:v>
      </x:c>
      <x:c r="P59" s="49" t="n">
        <x:f>IF(G59="Mythic",10,IF(G59="Rare",7,IF(G59="Uncommon",4,2)))</x:f>
        <x:v>2</x:v>
      </x:c>
      <x:c r="Q59" s="50" t="str">
        <x:v>When played, heal 2 damage from a unit.</x:v>
      </x:c>
      <x:c r="R59" s="50" t="str">
        <x:v>Generic unit play/combat | on_play: heal_unit</x:v>
      </x:c>
      <x:c r="S59" s="54" t="str">
        <x:v>Implemented</x:v>
      </x:c>
      <x:c r="T59" s="50" t="str">
        <x:v>data/cards.json + CookingCombatService.gd</x:v>
      </x:c>
    </x:row>
    <x:row r="60" ht="45" customHeight="1">
      <x:c r="A60" s="44" t="str">
        <x:v>Kwhale</x:v>
      </x:c>
      <x:c r="B60" s="44" t="str">
        <x:v>Kale Whale</x:v>
      </x:c>
      <x:c r="C60" s="44" t="str">
        <x:v>hearty_kale_whale</x:v>
      </x:c>
      <x:c r="D60" s="44" t="str">
        <x:v>Ingredient</x:v>
      </x:c>
      <x:c r="E60" s="44" t="str">
        <x:v>Hearty</x:v>
      </x:c>
      <x:c r="F60" s="44" t="str">
        <x:v>Yes</x:v>
      </x:c>
      <x:c r="G60" s="44" t="str">
        <x:f>IF(D60="Chef","Mythic",IF(F60="Yes","Rare",IF(OR(D60="Meal",D60="Spice",D60="Environment"),"Uncommon","Common")))</x:f>
        <x:v>Rare</x:v>
      </x:c>
      <x:c r="H60" s="49" t="n">
        <x:v>1</x:v>
      </x:c>
      <x:c r="I60" s="49" t="n">
        <x:v>2</x:v>
      </x:c>
      <x:c r="J60" s="44" t="str">
        <x:v>Hearty</x:v>
      </x:c>
      <x:c r="K60" s="50" t="str">
        <x:v>No additional cost</x:v>
      </x:c>
      <x:c r="L60" s="50" t="str">
        <x:v>—</x:v>
      </x:c>
      <x:c r="M60" s="49" t="n">
        <x:v>0</x:v>
      </x:c>
      <x:c r="N60" s="49" t="n">
        <x:v>0</x:v>
      </x:c>
      <x:c r="O60" s="49" t="n">
        <x:f>IF(D60="Meal",M60,N60)</x:f>
        <x:v>0</x:v>
      </x:c>
      <x:c r="P60" s="49" t="n">
        <x:f>IF(G60="Mythic",10,IF(G60="Rare",7,IF(G60="Uncommon",4,2)))</x:f>
        <x:v>7</x:v>
      </x:c>
      <x:c r="Q60" s="50" t="str">
        <x:v>When played, heal 1 damage from all your units.</x:v>
      </x:c>
      <x:c r="R60" s="50" t="str">
        <x:v>Generic unit play/combat | on_play: heal_all_friendly_units</x:v>
      </x:c>
      <x:c r="S60" s="54" t="str">
        <x:v>Implemented</x:v>
      </x:c>
      <x:c r="T60" s="50" t="str">
        <x:v>data/cards.json + CookingCombatService.gd</x:v>
      </x:c>
    </x:row>
    <x:row r="61" ht="45" customHeight="1">
      <x:c r="A61" s="44" t="str">
        <x:v>Sugar Glider</x:v>
      </x:c>
      <x:c r="B61" s="44" t="str"/>
      <x:c r="C61" s="44" t="str">
        <x:v>sweet_sugar_glider</x:v>
      </x:c>
      <x:c r="D61" s="44" t="str">
        <x:v>Ingredient</x:v>
      </x:c>
      <x:c r="E61" s="44" t="str">
        <x:v>Sweet</x:v>
      </x:c>
      <x:c r="F61" s="44" t="str">
        <x:v>No</x:v>
      </x:c>
      <x:c r="G61" s="44" t="str">
        <x:f>IF(D61="Chef","Mythic",IF(F61="Yes","Rare",IF(OR(D61="Meal",D61="Spice",D61="Environment"),"Uncommon","Common")))</x:f>
        <x:v>Common</x:v>
      </x:c>
      <x:c r="H61" s="49" t="n">
        <x:v>1</x:v>
      </x:c>
      <x:c r="I61" s="49" t="n">
        <x:v>2</x:v>
      </x:c>
      <x:c r="J61" s="44" t="str">
        <x:v>Sweet</x:v>
      </x:c>
      <x:c r="K61" s="50" t="str">
        <x:v>No additional cost</x:v>
      </x:c>
      <x:c r="L61" s="50" t="str">
        <x:v>—</x:v>
      </x:c>
      <x:c r="M61" s="49" t="n">
        <x:v>0</x:v>
      </x:c>
      <x:c r="N61" s="49" t="n">
        <x:v>0</x:v>
      </x:c>
      <x:c r="O61" s="49" t="n">
        <x:f>IF(D61="Meal",M61,N61)</x:f>
        <x:v>0</x:v>
      </x:c>
      <x:c r="P61" s="49" t="n">
        <x:f>IF(G61="Mythic",10,IF(G61="Rare",7,IF(G61="Uncommon",4,2)))</x:f>
        <x:v>2</x:v>
      </x:c>
      <x:c r="Q61" s="50" t="str">
        <x:v>When sacrificed, draw 1 card.</x:v>
      </x:c>
      <x:c r="R61" s="50" t="str">
        <x:v>Generic unit play/combat | on_sacrifice: draw</x:v>
      </x:c>
      <x:c r="S61" s="54" t="str">
        <x:v>Implemented</x:v>
      </x:c>
      <x:c r="T61" s="50" t="str">
        <x:v>data/cards.json + CookingCombatService.gd</x:v>
      </x:c>
    </x:row>
    <x:row r="62" ht="45" customHeight="1">
      <x:c r="A62" s="44" t="str">
        <x:v>Marshmallow Swallows</x:v>
      </x:c>
      <x:c r="B62" s="44" t="str"/>
      <x:c r="C62" s="44" t="str">
        <x:v>sweet_marshmallow_swallow</x:v>
      </x:c>
      <x:c r="D62" s="44" t="str">
        <x:v>Ingredient</x:v>
      </x:c>
      <x:c r="E62" s="44" t="str">
        <x:v>Sweet</x:v>
      </x:c>
      <x:c r="F62" s="44" t="str">
        <x:v>No</x:v>
      </x:c>
      <x:c r="G62" s="44" t="str">
        <x:f>IF(D62="Chef","Mythic",IF(F62="Yes","Rare",IF(OR(D62="Meal",D62="Spice",D62="Environment"),"Uncommon","Common")))</x:f>
        <x:v>Common</x:v>
      </x:c>
      <x:c r="H62" s="49" t="n">
        <x:v>2</x:v>
      </x:c>
      <x:c r="I62" s="49" t="n">
        <x:v>3</x:v>
      </x:c>
      <x:c r="J62" s="44" t="str">
        <x:v>Sweet</x:v>
      </x:c>
      <x:c r="K62" s="50" t="str">
        <x:v>No additional cost</x:v>
      </x:c>
      <x:c r="L62" s="50" t="str">
        <x:v>—</x:v>
      </x:c>
      <x:c r="M62" s="49" t="n">
        <x:v>0</x:v>
      </x:c>
      <x:c r="N62" s="49" t="n">
        <x:v>0</x:v>
      </x:c>
      <x:c r="O62" s="49" t="n">
        <x:f>IF(D62="Meal",M62,N62)</x:f>
        <x:v>0</x:v>
      </x:c>
      <x:c r="P62" s="49" t="n">
        <x:f>IF(G62="Mythic",10,IF(G62="Rare",7,IF(G62="Uncommon",4,2)))</x:f>
        <x:v>2</x:v>
      </x:c>
      <x:c r="Q62" s="50" t="str">
        <x:v>No additional effect.</x:v>
      </x:c>
      <x:c r="R62" s="50" t="str">
        <x:v>Generic unit play/combat</x:v>
      </x:c>
      <x:c r="S62" s="54" t="str">
        <x:v>Implemented</x:v>
      </x:c>
      <x:c r="T62" s="50" t="str">
        <x:v>data/cards.json + CookingCombatService.gd</x:v>
      </x:c>
    </x:row>
    <x:row r="63" ht="45" customHeight="1">
      <x:c r="A63" s="44" t="str">
        <x:v>Choco Bat</x:v>
      </x:c>
      <x:c r="B63" s="44" t="str"/>
      <x:c r="C63" s="44" t="str">
        <x:v>sweet_caramel_camel</x:v>
      </x:c>
      <x:c r="D63" s="44" t="str">
        <x:v>Ingredient</x:v>
      </x:c>
      <x:c r="E63" s="44" t="str">
        <x:v>Sweet</x:v>
      </x:c>
      <x:c r="F63" s="44" t="str">
        <x:v>No</x:v>
      </x:c>
      <x:c r="G63" s="44" t="str">
        <x:f>IF(D63="Chef","Mythic",IF(F63="Yes","Rare",IF(OR(D63="Meal",D63="Spice",D63="Environment"),"Uncommon","Common")))</x:f>
        <x:v>Common</x:v>
      </x:c>
      <x:c r="H63" s="49" t="n">
        <x:v>1</x:v>
      </x:c>
      <x:c r="I63" s="49" t="n">
        <x:v>1</x:v>
      </x:c>
      <x:c r="J63" s="44" t="str">
        <x:v>Sweet</x:v>
      </x:c>
      <x:c r="K63" s="50" t="str">
        <x:v>No additional cost</x:v>
      </x:c>
      <x:c r="L63" s="50" t="str">
        <x:v>—</x:v>
      </x:c>
      <x:c r="M63" s="49" t="n">
        <x:v>0</x:v>
      </x:c>
      <x:c r="N63" s="49" t="n">
        <x:v>0</x:v>
      </x:c>
      <x:c r="O63" s="49" t="n">
        <x:f>IF(D63="Meal",M63,N63)</x:f>
        <x:v>0</x:v>
      </x:c>
      <x:c r="P63" s="49" t="n">
        <x:f>IF(G63="Mythic",10,IF(G63="Rare",7,IF(G63="Uncommon",4,2)))</x:f>
        <x:v>2</x:v>
      </x:c>
      <x:c r="Q63" s="50" t="str">
        <x:v>When played, draw 1 card.</x:v>
      </x:c>
      <x:c r="R63" s="50" t="str">
        <x:v>Generic unit play/combat | on_play: draw</x:v>
      </x:c>
      <x:c r="S63" s="54" t="str">
        <x:v>Implemented</x:v>
      </x:c>
      <x:c r="T63" s="50" t="str">
        <x:v>data/cards.json + CookingCombatService.gd</x:v>
      </x:c>
    </x:row>
    <x:row r="64" ht="45" customHeight="1">
      <x:c r="A64" s="44" t="str">
        <x:v>Toffee Collie</x:v>
      </x:c>
      <x:c r="B64" s="44" t="str"/>
      <x:c r="C64" s="44" t="str">
        <x:v>sweet_toffee_collie</x:v>
      </x:c>
      <x:c r="D64" s="44" t="str">
        <x:v>Ingredient</x:v>
      </x:c>
      <x:c r="E64" s="44" t="str">
        <x:v>Sweet</x:v>
      </x:c>
      <x:c r="F64" s="44" t="str">
        <x:v>No</x:v>
      </x:c>
      <x:c r="G64" s="44" t="str">
        <x:f>IF(D64="Chef","Mythic",IF(F64="Yes","Rare",IF(OR(D64="Meal",D64="Spice",D64="Environment"),"Uncommon","Common")))</x:f>
        <x:v>Common</x:v>
      </x:c>
      <x:c r="H64" s="49" t="n">
        <x:v>1</x:v>
      </x:c>
      <x:c r="I64" s="49" t="n">
        <x:v>1</x:v>
      </x:c>
      <x:c r="J64" s="44" t="str">
        <x:v>Sweet</x:v>
      </x:c>
      <x:c r="K64" s="50" t="str">
        <x:v>No additional cost</x:v>
      </x:c>
      <x:c r="L64" s="50" t="str">
        <x:v>—</x:v>
      </x:c>
      <x:c r="M64" s="49" t="n">
        <x:v>0</x:v>
      </x:c>
      <x:c r="N64" s="49" t="n">
        <x:v>0</x:v>
      </x:c>
      <x:c r="O64" s="49" t="n">
        <x:f>IF(D64="Meal",M64,N64)</x:f>
        <x:v>0</x:v>
      </x:c>
      <x:c r="P64" s="49" t="n">
        <x:f>IF(G64="Mythic",10,IF(G64="Rare",7,IF(G64="Uncommon",4,2)))</x:f>
        <x:v>2</x:v>
      </x:c>
      <x:c r="Q64" s="50" t="str">
        <x:v>When this deals combat damage to the opposing chef, they cannot use Tools next turn.</x:v>
      </x:c>
      <x:c r="R64" s="50" t="str">
        <x:v>Generic unit play/combat | on_combat_damage_to_chef: disable_enemy_items_next_turn</x:v>
      </x:c>
      <x:c r="S64" s="54" t="str">
        <x:v>Implemented</x:v>
      </x:c>
      <x:c r="T64" s="50" t="str">
        <x:v>data/cards.json + CookingCombatService.gd</x:v>
      </x:c>
    </x:row>
    <x:row r="65" ht="45" customHeight="1">
      <x:c r="A65" s="44" t="str">
        <x:v>Nutmeg</x:v>
      </x:c>
      <x:c r="B65" s="44" t="str">
        <x:v>Newtmeg</x:v>
      </x:c>
      <x:c r="C65" s="44" t="str">
        <x:v>sweet_nutmeg_newt</x:v>
      </x:c>
      <x:c r="D65" s="44" t="str">
        <x:v>Ingredient</x:v>
      </x:c>
      <x:c r="E65" s="44" t="str">
        <x:v>Sweet</x:v>
      </x:c>
      <x:c r="F65" s="44" t="str">
        <x:v>No</x:v>
      </x:c>
      <x:c r="G65" s="44" t="str">
        <x:f>IF(D65="Chef","Mythic",IF(F65="Yes","Rare",IF(OR(D65="Meal",D65="Spice",D65="Environment"),"Uncommon","Common")))</x:f>
        <x:v>Common</x:v>
      </x:c>
      <x:c r="H65" s="49" t="n">
        <x:v>1</x:v>
      </x:c>
      <x:c r="I65" s="49" t="n">
        <x:v>2</x:v>
      </x:c>
      <x:c r="J65" s="44" t="str">
        <x:v>Sweet</x:v>
      </x:c>
      <x:c r="K65" s="50" t="str">
        <x:v>No additional cost</x:v>
      </x:c>
      <x:c r="L65" s="50" t="str">
        <x:v>—</x:v>
      </x:c>
      <x:c r="M65" s="49" t="n">
        <x:v>0</x:v>
      </x:c>
      <x:c r="N65" s="49" t="n">
        <x:v>0</x:v>
      </x:c>
      <x:c r="O65" s="49" t="n">
        <x:f>IF(D65="Meal",M65,N65)</x:f>
        <x:v>0</x:v>
      </x:c>
      <x:c r="P65" s="49" t="n">
        <x:f>IF(G65="Mythic",10,IF(G65="Rare",7,IF(G65="Uncommon",4,2)))</x:f>
        <x:v>2</x:v>
      </x:c>
      <x:c r="Q65" s="50" t="str">
        <x:v>Bodyguard — attacks into this card deal no piercing damage.</x:v>
      </x:c>
      <x:c r="R65" s="50" t="str">
        <x:v>Generic unit play/combat | keywords: bodyguard</x:v>
      </x:c>
      <x:c r="S65" s="54" t="str">
        <x:v>Implemented</x:v>
      </x:c>
      <x:c r="T65" s="50" t="str">
        <x:v>data/cards.json + CookingCombatService.gd</x:v>
      </x:c>
    </x:row>
    <x:row r="66" ht="45" customHeight="1">
      <x:c r="A66" s="44" t="str">
        <x:v>Vanilla Extract Gorilla</x:v>
      </x:c>
      <x:c r="B66" s="44" t="str"/>
      <x:c r="C66" s="44" t="str">
        <x:v>sweet_vanilla_gorilla</x:v>
      </x:c>
      <x:c r="D66" s="44" t="str">
        <x:v>Ingredient</x:v>
      </x:c>
      <x:c r="E66" s="44" t="str">
        <x:v>Sweet</x:v>
      </x:c>
      <x:c r="F66" s="44" t="str">
        <x:v>Yes</x:v>
      </x:c>
      <x:c r="G66" s="44" t="str">
        <x:f>IF(D66="Chef","Mythic",IF(F66="Yes","Rare",IF(OR(D66="Meal",D66="Spice",D66="Environment"),"Uncommon","Common")))</x:f>
        <x:v>Rare</x:v>
      </x:c>
      <x:c r="H66" s="49" t="n">
        <x:v>1</x:v>
      </x:c>
      <x:c r="I66" s="49" t="n">
        <x:v>2</x:v>
      </x:c>
      <x:c r="J66" s="44" t="str">
        <x:v>Sweet</x:v>
      </x:c>
      <x:c r="K66" s="50" t="str">
        <x:v>No additional cost</x:v>
      </x:c>
      <x:c r="L66" s="50" t="str">
        <x:v>—</x:v>
      </x:c>
      <x:c r="M66" s="49" t="n">
        <x:v>0</x:v>
      </x:c>
      <x:c r="N66" s="49" t="n">
        <x:v>0</x:v>
      </x:c>
      <x:c r="O66" s="49" t="n">
        <x:f>IF(D66="Meal",M66,N66)</x:f>
        <x:v>0</x:v>
      </x:c>
      <x:c r="P66" s="49" t="n">
        <x:f>IF(G66="Mythic",10,IF(G66="Rare",7,IF(G66="Uncommon",4,2)))</x:f>
        <x:v>7</x:v>
      </x:c>
      <x:c r="Q66" s="50" t="str">
        <x:v>When played, draw 1. If you control three other Sweet units, draw 2 instead.</x:v>
      </x:c>
      <x:c r="R66" s="50" t="str">
        <x:v>Generic unit play/combat | on_play: conditional_draw</x:v>
      </x:c>
      <x:c r="S66" s="54" t="str">
        <x:v>Implemented</x:v>
      </x:c>
      <x:c r="T66" s="50" t="str">
        <x:v>data/cards.json + CookingCombatService.gd</x:v>
      </x:c>
    </x:row>
    <x:row r="67" ht="45" customHeight="1">
      <x:c r="A67" s="44" t="str">
        <x:v>Soft Serve Crab</x:v>
      </x:c>
      <x:c r="B67" s="44" t="str"/>
      <x:c r="C67" s="44" t="str">
        <x:v>sweet_soft_serve_crab</x:v>
      </x:c>
      <x:c r="D67" s="44" t="str">
        <x:v>Ingredient</x:v>
      </x:c>
      <x:c r="E67" s="44" t="str">
        <x:v>Sweet</x:v>
      </x:c>
      <x:c r="F67" s="44" t="str">
        <x:v>Yes</x:v>
      </x:c>
      <x:c r="G67" s="44" t="str">
        <x:f>IF(D67="Chef","Mythic",IF(F67="Yes","Rare",IF(OR(D67="Meal",D67="Spice",D67="Environment"),"Uncommon","Common")))</x:f>
        <x:v>Rare</x:v>
      </x:c>
      <x:c r="H67" s="49" t="n">
        <x:v>1</x:v>
      </x:c>
      <x:c r="I67" s="49" t="n">
        <x:v>2</x:v>
      </x:c>
      <x:c r="J67" s="44" t="str">
        <x:v>Sweet</x:v>
      </x:c>
      <x:c r="K67" s="50" t="str">
        <x:v>No additional cost</x:v>
      </x:c>
      <x:c r="L67" s="50" t="str">
        <x:v>—</x:v>
      </x:c>
      <x:c r="M67" s="49" t="n">
        <x:v>0</x:v>
      </x:c>
      <x:c r="N67" s="49" t="n">
        <x:v>0</x:v>
      </x:c>
      <x:c r="O67" s="49" t="n">
        <x:f>IF(D67="Meal",M67,N67)</x:f>
        <x:v>0</x:v>
      </x:c>
      <x:c r="P67" s="49" t="n">
        <x:f>IF(G67="Mythic",10,IF(G67="Rare",7,IF(G67="Uncommon",4,2)))</x:f>
        <x:v>7</x:v>
      </x:c>
      <x:c r="Q67" s="50" t="str">
        <x:v>When played, search your deck for a Sweet card.</x:v>
      </x:c>
      <x:c r="R67" s="50" t="str">
        <x:v>Generic unit play/combat | on_play: search</x:v>
      </x:c>
      <x:c r="S67" s="54" t="str">
        <x:v>Implemented</x:v>
      </x:c>
      <x:c r="T67" s="50" t="str">
        <x:v>data/cards.json + CookingCombatService.gd</x:v>
      </x:c>
    </x:row>
    <x:row r="68" ht="45" customHeight="1">
      <x:c r="A68" s="44" t="str">
        <x:v>Jellyfish</x:v>
      </x:c>
      <x:c r="B68" s="44" t="str"/>
      <x:c r="C68" s="44" t="str">
        <x:v>sweet_jellyfish</x:v>
      </x:c>
      <x:c r="D68" s="44" t="str">
        <x:v>Ingredient</x:v>
      </x:c>
      <x:c r="E68" s="44" t="str">
        <x:v>Sweet</x:v>
      </x:c>
      <x:c r="F68" s="44" t="str">
        <x:v>Yes</x:v>
      </x:c>
      <x:c r="G68" s="44" t="str">
        <x:f>IF(D68="Chef","Mythic",IF(F68="Yes","Rare",IF(OR(D68="Meal",D68="Spice",D68="Environment"),"Uncommon","Common")))</x:f>
        <x:v>Rare</x:v>
      </x:c>
      <x:c r="H68" s="49" t="n">
        <x:v>1</x:v>
      </x:c>
      <x:c r="I68" s="49" t="n">
        <x:v>2</x:v>
      </x:c>
      <x:c r="J68" s="44" t="str">
        <x:v>Sweet</x:v>
      </x:c>
      <x:c r="K68" s="50" t="str">
        <x:v>No additional cost</x:v>
      </x:c>
      <x:c r="L68" s="50" t="str">
        <x:v>—</x:v>
      </x:c>
      <x:c r="M68" s="49" t="n">
        <x:v>0</x:v>
      </x:c>
      <x:c r="N68" s="49" t="n">
        <x:v>0</x:v>
      </x:c>
      <x:c r="O68" s="49" t="n">
        <x:f>IF(D68="Meal",M68,N68)</x:f>
        <x:v>0</x:v>
      </x:c>
      <x:c r="P68" s="49" t="n">
        <x:f>IF(G68="Mythic",10,IF(G68="Rare",7,IF(G68="Uncommon",4,2)))</x:f>
        <x:v>7</x:v>
      </x:c>
      <x:c r="Q68" s="50" t="str">
        <x:v>When played, return an opposing ingredient to its owner's hand.</x:v>
      </x:c>
      <x:c r="R68" s="50" t="str">
        <x:v>Generic unit play/combat | on_play: return_enemy_ingredient</x:v>
      </x:c>
      <x:c r="S68" s="54" t="str">
        <x:v>Implemented</x:v>
      </x:c>
      <x:c r="T68" s="50" t="str">
        <x:v>data/cards.json + CookingCombatService.gd</x:v>
      </x:c>
    </x:row>
    <x:row r="69" ht="45" customHeight="1">
      <x:c r="A69" s="44" t="str">
        <x:v>Spicy Shopping List</x:v>
      </x:c>
      <x:c r="B69" s="44" t="str"/>
      <x:c r="C69" s="44" t="str">
        <x:v>item_spicy_shopping_list</x:v>
      </x:c>
      <x:c r="D69" s="44" t="str">
        <x:v>Tool</x:v>
      </x:c>
      <x:c r="E69" s="44" t="str">
        <x:v>Neutral</x:v>
      </x:c>
      <x:c r="F69" s="44" t="str">
        <x:v>No</x:v>
      </x:c>
      <x:c r="G69" s="44" t="str">
        <x:f>IF(D69="Chef","Mythic",IF(F69="Yes","Rare",IF(OR(D69="Meal",D69="Spice",D69="Environment"),"Uncommon","Common")))</x:f>
        <x:v>Common</x:v>
      </x:c>
      <x:c r="H69" s="49"/>
      <x:c r="I69" s="49"/>
      <x:c r="J69" s="44" t="str"/>
      <x:c r="K69" s="50" t="str">
        <x:v>Discard 1 card</x:v>
      </x:c>
      <x:c r="L69" s="50" t="str">
        <x:v>—</x:v>
      </x:c>
      <x:c r="M69" s="49" t="n">
        <x:v>0</x:v>
      </x:c>
      <x:c r="N69" s="49" t="n">
        <x:v>1</x:v>
      </x:c>
      <x:c r="O69" s="49" t="n">
        <x:f>IF(D69="Meal",M69,N69)</x:f>
        <x:v>1</x:v>
      </x:c>
      <x:c r="P69" s="49" t="n">
        <x:f>IF(G69="Mythic",10,IF(G69="Rare",7,IF(G69="Uncommon",4,2)))</x:f>
        <x:v>2</x:v>
      </x:c>
      <x:c r="Q69" s="50" t="str">
        <x:v>Discard 1 card; search your deck for a Spicy ingredient.</x:v>
      </x:c>
      <x:c r="R69" s="50" t="str">
        <x:v>Generic Tool resolution | effects: search</x:v>
      </x:c>
      <x:c r="S69" s="54" t="str">
        <x:v>Implemented</x:v>
      </x:c>
      <x:c r="T69" s="50" t="str">
        <x:v>data/cards.json + CookingCombatService.gd</x:v>
      </x:c>
    </x:row>
    <x:row r="70" ht="45" customHeight="1">
      <x:c r="A70" s="44" t="str">
        <x:v>Sweet Shopping List</x:v>
      </x:c>
      <x:c r="B70" s="44" t="str"/>
      <x:c r="C70" s="44" t="str">
        <x:v>item_sweet_shopping_list</x:v>
      </x:c>
      <x:c r="D70" s="44" t="str">
        <x:v>Tool</x:v>
      </x:c>
      <x:c r="E70" s="44" t="str">
        <x:v>Neutral</x:v>
      </x:c>
      <x:c r="F70" s="44" t="str">
        <x:v>No</x:v>
      </x:c>
      <x:c r="G70" s="44" t="str">
        <x:f>IF(D70="Chef","Mythic",IF(F70="Yes","Rare",IF(OR(D70="Meal",D70="Spice",D70="Environment"),"Uncommon","Common")))</x:f>
        <x:v>Common</x:v>
      </x:c>
      <x:c r="H70" s="49"/>
      <x:c r="I70" s="49"/>
      <x:c r="J70" s="44" t="str"/>
      <x:c r="K70" s="50" t="str">
        <x:v>Discard 1 card</x:v>
      </x:c>
      <x:c r="L70" s="50" t="str">
        <x:v>—</x:v>
      </x:c>
      <x:c r="M70" s="49" t="n">
        <x:v>0</x:v>
      </x:c>
      <x:c r="N70" s="49" t="n">
        <x:v>1</x:v>
      </x:c>
      <x:c r="O70" s="49" t="n">
        <x:f>IF(D70="Meal",M70,N70)</x:f>
        <x:v>1</x:v>
      </x:c>
      <x:c r="P70" s="49" t="n">
        <x:f>IF(G70="Mythic",10,IF(G70="Rare",7,IF(G70="Uncommon",4,2)))</x:f>
        <x:v>2</x:v>
      </x:c>
      <x:c r="Q70" s="50" t="str">
        <x:v>Discard 1 card; search your deck for a Sweet ingredient.</x:v>
      </x:c>
      <x:c r="R70" s="50" t="str">
        <x:v>Generic Tool resolution | effects: search</x:v>
      </x:c>
      <x:c r="S70" s="54" t="str">
        <x:v>Implemented</x:v>
      </x:c>
      <x:c r="T70" s="50" t="str">
        <x:v>data/cards.json + CookingCombatService.gd</x:v>
      </x:c>
    </x:row>
    <x:row r="71" ht="45" customHeight="1">
      <x:c r="A71" s="44" t="str">
        <x:v>Hearty Shopping List</x:v>
      </x:c>
      <x:c r="B71" s="44" t="str"/>
      <x:c r="C71" s="44" t="str">
        <x:v>item_hearty_shopping_list</x:v>
      </x:c>
      <x:c r="D71" s="44" t="str">
        <x:v>Tool</x:v>
      </x:c>
      <x:c r="E71" s="44" t="str">
        <x:v>Neutral</x:v>
      </x:c>
      <x:c r="F71" s="44" t="str">
        <x:v>No</x:v>
      </x:c>
      <x:c r="G71" s="44" t="str">
        <x:f>IF(D71="Chef","Mythic",IF(F71="Yes","Rare",IF(OR(D71="Meal",D71="Spice",D71="Environment"),"Uncommon","Common")))</x:f>
        <x:v>Common</x:v>
      </x:c>
      <x:c r="H71" s="49"/>
      <x:c r="I71" s="49"/>
      <x:c r="J71" s="44" t="str"/>
      <x:c r="K71" s="50" t="str">
        <x:v>Discard 1 card</x:v>
      </x:c>
      <x:c r="L71" s="50" t="str">
        <x:v>—</x:v>
      </x:c>
      <x:c r="M71" s="49" t="n">
        <x:v>0</x:v>
      </x:c>
      <x:c r="N71" s="49" t="n">
        <x:v>1</x:v>
      </x:c>
      <x:c r="O71" s="49" t="n">
        <x:f>IF(D71="Meal",M71,N71)</x:f>
        <x:v>1</x:v>
      </x:c>
      <x:c r="P71" s="49" t="n">
        <x:f>IF(G71="Mythic",10,IF(G71="Rare",7,IF(G71="Uncommon",4,2)))</x:f>
        <x:v>2</x:v>
      </x:c>
      <x:c r="Q71" s="50" t="str">
        <x:v>Discard 1 card; search your deck for a Hearty ingredient.</x:v>
      </x:c>
      <x:c r="R71" s="50" t="str">
        <x:v>Generic Tool resolution | effects: search</x:v>
      </x:c>
      <x:c r="S71" s="54" t="str">
        <x:v>Implemented</x:v>
      </x:c>
      <x:c r="T71" s="50" t="str">
        <x:v>data/cards.json + CookingCombatService.gd</x:v>
      </x:c>
    </x:row>
    <x:row r="72" ht="45" customHeight="1">
      <x:c r="A72" s="44" t="str">
        <x:v>Fresh Shopping List</x:v>
      </x:c>
      <x:c r="B72" s="44" t="str"/>
      <x:c r="C72" s="44" t="str">
        <x:v>item_fresh_shopping_list</x:v>
      </x:c>
      <x:c r="D72" s="44" t="str">
        <x:v>Tool</x:v>
      </x:c>
      <x:c r="E72" s="44" t="str">
        <x:v>Neutral</x:v>
      </x:c>
      <x:c r="F72" s="44" t="str">
        <x:v>No</x:v>
      </x:c>
      <x:c r="G72" s="44" t="str">
        <x:f>IF(D72="Chef","Mythic",IF(F72="Yes","Rare",IF(OR(D72="Meal",D72="Spice",D72="Environment"),"Uncommon","Common")))</x:f>
        <x:v>Common</x:v>
      </x:c>
      <x:c r="H72" s="49"/>
      <x:c r="I72" s="49"/>
      <x:c r="J72" s="44" t="str"/>
      <x:c r="K72" s="50" t="str">
        <x:v>Discard 1 card</x:v>
      </x:c>
      <x:c r="L72" s="50" t="str">
        <x:v>—</x:v>
      </x:c>
      <x:c r="M72" s="49" t="n">
        <x:v>0</x:v>
      </x:c>
      <x:c r="N72" s="49" t="n">
        <x:v>1</x:v>
      </x:c>
      <x:c r="O72" s="49" t="n">
        <x:f>IF(D72="Meal",M72,N72)</x:f>
        <x:v>1</x:v>
      </x:c>
      <x:c r="P72" s="49" t="n">
        <x:f>IF(G72="Mythic",10,IF(G72="Rare",7,IF(G72="Uncommon",4,2)))</x:f>
        <x:v>2</x:v>
      </x:c>
      <x:c r="Q72" s="50" t="str">
        <x:v>Discard 1 card; search your deck for a Fresh Ingredient.</x:v>
      </x:c>
      <x:c r="R72" s="50" t="str">
        <x:v>Generic Tool resolution | effects: search</x:v>
      </x:c>
      <x:c r="S72" s="54" t="str">
        <x:v>Implemented</x:v>
      </x:c>
      <x:c r="T72" s="50" t="str">
        <x:v>data/cards.json + CookingCombatService.gd</x:v>
      </x:c>
    </x:row>
    <x:row r="73" ht="45" customHeight="1">
      <x:c r="A73" s="44" t="str">
        <x:v>Funky Shopping List</x:v>
      </x:c>
      <x:c r="B73" s="44" t="str"/>
      <x:c r="C73" s="44" t="str">
        <x:v>item_funky_shopping_list</x:v>
      </x:c>
      <x:c r="D73" s="44" t="str">
        <x:v>Tool</x:v>
      </x:c>
      <x:c r="E73" s="44" t="str">
        <x:v>Neutral</x:v>
      </x:c>
      <x:c r="F73" s="44" t="str">
        <x:v>No</x:v>
      </x:c>
      <x:c r="G73" s="44" t="str">
        <x:f>IF(D73="Chef","Mythic",IF(F73="Yes","Rare",IF(OR(D73="Meal",D73="Spice",D73="Environment"),"Uncommon","Common")))</x:f>
        <x:v>Common</x:v>
      </x:c>
      <x:c r="H73" s="49"/>
      <x:c r="I73" s="49"/>
      <x:c r="J73" s="44" t="str"/>
      <x:c r="K73" s="50" t="str">
        <x:v>Discard 1 card</x:v>
      </x:c>
      <x:c r="L73" s="50" t="str">
        <x:v>—</x:v>
      </x:c>
      <x:c r="M73" s="49" t="n">
        <x:v>0</x:v>
      </x:c>
      <x:c r="N73" s="49" t="n">
        <x:v>1</x:v>
      </x:c>
      <x:c r="O73" s="49" t="n">
        <x:f>IF(D73="Meal",M73,N73)</x:f>
        <x:v>1</x:v>
      </x:c>
      <x:c r="P73" s="49" t="n">
        <x:f>IF(G73="Mythic",10,IF(G73="Rare",7,IF(G73="Uncommon",4,2)))</x:f>
        <x:v>2</x:v>
      </x:c>
      <x:c r="Q73" s="50" t="str">
        <x:v>Discard 1 card; search your deck for a Funky Ingredient.</x:v>
      </x:c>
      <x:c r="R73" s="50" t="str">
        <x:v>Generic Tool resolution | effects: search</x:v>
      </x:c>
      <x:c r="S73" s="54" t="str">
        <x:v>Implemented</x:v>
      </x:c>
      <x:c r="T73" s="50" t="str">
        <x:v>data/cards.json + CookingCombatService.gd</x:v>
      </x:c>
    </x:row>
    <x:row r="74" ht="45" customHeight="1">
      <x:c r="A74" s="44" t="str">
        <x:v>Recipe Prep</x:v>
      </x:c>
      <x:c r="B74" s="44" t="str"/>
      <x:c r="C74" s="44" t="str">
        <x:v>item_recipe_prep</x:v>
      </x:c>
      <x:c r="D74" s="44" t="str">
        <x:v>Tool</x:v>
      </x:c>
      <x:c r="E74" s="44" t="str">
        <x:v>Neutral</x:v>
      </x:c>
      <x:c r="F74" s="44" t="str">
        <x:v>No</x:v>
      </x:c>
      <x:c r="G74" s="44" t="str">
        <x:f>IF(D74="Chef","Mythic",IF(F74="Yes","Rare",IF(OR(D74="Meal",D74="Spice",D74="Environment"),"Uncommon","Common")))</x:f>
        <x:v>Common</x:v>
      </x:c>
      <x:c r="H74" s="49"/>
      <x:c r="I74" s="49"/>
      <x:c r="J74" s="44" t="str"/>
      <x:c r="K74" s="50" t="str">
        <x:v>Discard 2 cards</x:v>
      </x:c>
      <x:c r="L74" s="50" t="str">
        <x:v>—</x:v>
      </x:c>
      <x:c r="M74" s="49" t="n">
        <x:v>0</x:v>
      </x:c>
      <x:c r="N74" s="49" t="n">
        <x:v>2</x:v>
      </x:c>
      <x:c r="O74" s="49" t="n">
        <x:f>IF(D74="Meal",M74,N74)</x:f>
        <x:v>2</x:v>
      </x:c>
      <x:c r="P74" s="49" t="n">
        <x:f>IF(G74="Mythic",10,IF(G74="Rare",7,IF(G74="Uncommon",4,2)))</x:f>
        <x:v>2</x:v>
      </x:c>
      <x:c r="Q74" s="50" t="str">
        <x:v>Discard 2 cards; search your deck for a unit.</x:v>
      </x:c>
      <x:c r="R74" s="50" t="str">
        <x:v>Generic Tool resolution | effects: search</x:v>
      </x:c>
      <x:c r="S74" s="54" t="str">
        <x:v>Implemented</x:v>
      </x:c>
      <x:c r="T74" s="50" t="str">
        <x:v>data/cards.json + CookingCombatService.gd</x:v>
      </x:c>
    </x:row>
    <x:row r="75" ht="45" customHeight="1">
      <x:c r="A75" s="44" t="str">
        <x:v>Blow Torch</x:v>
      </x:c>
      <x:c r="B75" s="44" t="str"/>
      <x:c r="C75" s="44" t="str">
        <x:v>item_blow_torch</x:v>
      </x:c>
      <x:c r="D75" s="44" t="str">
        <x:v>Tool</x:v>
      </x:c>
      <x:c r="E75" s="44" t="str">
        <x:v>Neutral</x:v>
      </x:c>
      <x:c r="F75" s="44" t="str">
        <x:v>No</x:v>
      </x:c>
      <x:c r="G75" s="44" t="str">
        <x:f>IF(D75="Chef","Mythic",IF(F75="Yes","Rare",IF(OR(D75="Meal",D75="Spice",D75="Environment"),"Uncommon","Common")))</x:f>
        <x:v>Common</x:v>
      </x:c>
      <x:c r="H75" s="49"/>
      <x:c r="I75" s="49"/>
      <x:c r="J75" s="44" t="str"/>
      <x:c r="K75" s="50" t="str">
        <x:v>No additional cost</x:v>
      </x:c>
      <x:c r="L75" s="50" t="str">
        <x:v>—</x:v>
      </x:c>
      <x:c r="M75" s="49" t="n">
        <x:v>0</x:v>
      </x:c>
      <x:c r="N75" s="49" t="n">
        <x:v>0</x:v>
      </x:c>
      <x:c r="O75" s="49" t="n">
        <x:f>IF(D75="Meal",M75,N75)</x:f>
        <x:v>0</x:v>
      </x:c>
      <x:c r="P75" s="49" t="n">
        <x:f>IF(G75="Mythic",10,IF(G75="Rare",7,IF(G75="Uncommon",4,2)))</x:f>
        <x:v>2</x:v>
      </x:c>
      <x:c r="Q75" s="50" t="str">
        <x:v>Move a Spicy card to Prep; destroy a card your opponent controls.</x:v>
      </x:c>
      <x:c r="R75" s="50" t="str">
        <x:v>Generic Tool resolution | effects: move_friendly_to_prep, destroy_enemy_unit</x:v>
      </x:c>
      <x:c r="S75" s="54" t="str">
        <x:v>Implemented</x:v>
      </x:c>
      <x:c r="T75" s="50" t="str">
        <x:v>data/cards.json + CookingCombatService.gd</x:v>
      </x:c>
    </x:row>
    <x:row r="76" ht="45" customHeight="1">
      <x:c r="A76" s="44" t="str">
        <x:v>Tool Drawer</x:v>
      </x:c>
      <x:c r="B76" s="44" t="str"/>
      <x:c r="C76" s="44" t="str">
        <x:v>item_tool_drawer</x:v>
      </x:c>
      <x:c r="D76" s="44" t="str">
        <x:v>Tool</x:v>
      </x:c>
      <x:c r="E76" s="44" t="str">
        <x:v>Neutral</x:v>
      </x:c>
      <x:c r="F76" s="44" t="str">
        <x:v>No</x:v>
      </x:c>
      <x:c r="G76" s="44" t="str">
        <x:f>IF(D76="Chef","Mythic",IF(F76="Yes","Rare",IF(OR(D76="Meal",D76="Spice",D76="Environment"),"Uncommon","Common")))</x:f>
        <x:v>Common</x:v>
      </x:c>
      <x:c r="H76" s="49"/>
      <x:c r="I76" s="49"/>
      <x:c r="J76" s="44" t="str"/>
      <x:c r="K76" s="50" t="str">
        <x:v>No additional cost</x:v>
      </x:c>
      <x:c r="L76" s="50" t="str">
        <x:v>—</x:v>
      </x:c>
      <x:c r="M76" s="49" t="n">
        <x:v>0</x:v>
      </x:c>
      <x:c r="N76" s="49" t="n">
        <x:v>0</x:v>
      </x:c>
      <x:c r="O76" s="49" t="n">
        <x:f>IF(D76="Meal",M76,N76)</x:f>
        <x:v>0</x:v>
      </x:c>
      <x:c r="P76" s="49" t="n">
        <x:f>IF(G76="Mythic",10,IF(G76="Rare",7,IF(G76="Uncommon",4,2)))</x:f>
        <x:v>2</x:v>
      </x:c>
      <x:c r="Q76" s="50" t="str">
        <x:v>Look at the top 4 cards of your deck. Put a Tool from among them into your hand.</x:v>
      </x:c>
      <x:c r="R76" s="50" t="str">
        <x:v>Generic Tool resolution | effects: look_and_take</x:v>
      </x:c>
      <x:c r="S76" s="54" t="str">
        <x:v>Implemented</x:v>
      </x:c>
      <x:c r="T76" s="50" t="str">
        <x:v>data/cards.json + CookingCombatService.gd</x:v>
      </x:c>
    </x:row>
    <x:row r="77" ht="45" customHeight="1">
      <x:c r="A77" s="44" t="str">
        <x:v>Tongs</x:v>
      </x:c>
      <x:c r="B77" s="44" t="str"/>
      <x:c r="C77" s="44" t="str">
        <x:v>item_tongs</x:v>
      </x:c>
      <x:c r="D77" s="44" t="str">
        <x:v>Tool</x:v>
      </x:c>
      <x:c r="E77" s="44" t="str">
        <x:v>Neutral</x:v>
      </x:c>
      <x:c r="F77" s="44" t="str">
        <x:v>No</x:v>
      </x:c>
      <x:c r="G77" s="44" t="str">
        <x:f>IF(D77="Chef","Mythic",IF(F77="Yes","Rare",IF(OR(D77="Meal",D77="Spice",D77="Environment"),"Uncommon","Common")))</x:f>
        <x:v>Common</x:v>
      </x:c>
      <x:c r="H77" s="49"/>
      <x:c r="I77" s="49"/>
      <x:c r="J77" s="44" t="str"/>
      <x:c r="K77" s="50" t="str">
        <x:v>No additional cost</x:v>
      </x:c>
      <x:c r="L77" s="50" t="str">
        <x:v>—</x:v>
      </x:c>
      <x:c r="M77" s="49" t="n">
        <x:v>0</x:v>
      </x:c>
      <x:c r="N77" s="49" t="n">
        <x:v>0</x:v>
      </x:c>
      <x:c r="O77" s="49" t="n">
        <x:f>IF(D77="Meal",M77,N77)</x:f>
        <x:v>0</x:v>
      </x:c>
      <x:c r="P77" s="49" t="n">
        <x:f>IF(G77="Mythic",10,IF(G77="Rare",7,IF(G77="Uncommon",4,2)))</x:f>
        <x:v>2</x:v>
      </x:c>
      <x:c r="Q77" s="50" t="str">
        <x:v>Your opponent reveals their hand. Put a unit from it onto their field.</x:v>
      </x:c>
      <x:c r="R77" s="50" t="str">
        <x:v>Generic Tool resolution | effects: deploy_enemy_hand_unit</x:v>
      </x:c>
      <x:c r="S77" s="54" t="str">
        <x:v>Implemented</x:v>
      </x:c>
      <x:c r="T77" s="50" t="str">
        <x:v>data/cards.json + CookingCombatService.gd</x:v>
      </x:c>
    </x:row>
    <x:row r="78" ht="45" customHeight="1">
      <x:c r="A78" s="44" t="str">
        <x:v>Strainer</x:v>
      </x:c>
      <x:c r="B78" s="44" t="str"/>
      <x:c r="C78" s="44" t="str">
        <x:v>item_strainer</x:v>
      </x:c>
      <x:c r="D78" s="44" t="str">
        <x:v>Tool</x:v>
      </x:c>
      <x:c r="E78" s="44" t="str">
        <x:v>Neutral</x:v>
      </x:c>
      <x:c r="F78" s="44" t="str">
        <x:v>No</x:v>
      </x:c>
      <x:c r="G78" s="44" t="str">
        <x:f>IF(D78="Chef","Mythic",IF(F78="Yes","Rare",IF(OR(D78="Meal",D78="Spice",D78="Environment"),"Uncommon","Common")))</x:f>
        <x:v>Common</x:v>
      </x:c>
      <x:c r="H78" s="49"/>
      <x:c r="I78" s="49"/>
      <x:c r="J78" s="44" t="str"/>
      <x:c r="K78" s="50" t="str">
        <x:v>No additional cost</x:v>
      </x:c>
      <x:c r="L78" s="50" t="str">
        <x:v>—</x:v>
      </x:c>
      <x:c r="M78" s="49" t="n">
        <x:v>0</x:v>
      </x:c>
      <x:c r="N78" s="49" t="n">
        <x:v>0</x:v>
      </x:c>
      <x:c r="O78" s="49" t="n">
        <x:f>IF(D78="Meal",M78,N78)</x:f>
        <x:v>0</x:v>
      </x:c>
      <x:c r="P78" s="49" t="n">
        <x:f>IF(G78="Mythic",10,IF(G78="Rare",7,IF(G78="Uncommon",4,2)))</x:f>
        <x:v>2</x:v>
      </x:c>
      <x:c r="Q78" s="50" t="str">
        <x:v>Shuffle 2 cards from your discard into your deck.</x:v>
      </x:c>
      <x:c r="R78" s="50" t="str">
        <x:v>Generic Tool resolution | effects: recycle</x:v>
      </x:c>
      <x:c r="S78" s="54" t="str">
        <x:v>Implemented</x:v>
      </x:c>
      <x:c r="T78" s="50" t="str">
        <x:v>data/cards.json + CookingCombatService.gd</x:v>
      </x:c>
    </x:row>
    <x:row r="79" ht="45" customHeight="1">
      <x:c r="A79" s="44" t="str">
        <x:v>Hand Mixer</x:v>
      </x:c>
      <x:c r="B79" s="44" t="str"/>
      <x:c r="C79" s="44" t="str">
        <x:v>item_hand_mixer</x:v>
      </x:c>
      <x:c r="D79" s="44" t="str">
        <x:v>Tool</x:v>
      </x:c>
      <x:c r="E79" s="44" t="str">
        <x:v>Neutral</x:v>
      </x:c>
      <x:c r="F79" s="44" t="str">
        <x:v>No</x:v>
      </x:c>
      <x:c r="G79" s="44" t="str">
        <x:f>IF(D79="Chef","Mythic",IF(F79="Yes","Rare",IF(OR(D79="Meal",D79="Spice",D79="Environment"),"Uncommon","Common")))</x:f>
        <x:v>Common</x:v>
      </x:c>
      <x:c r="H79" s="49"/>
      <x:c r="I79" s="49"/>
      <x:c r="J79" s="44" t="str"/>
      <x:c r="K79" s="50" t="str">
        <x:v>No additional cost</x:v>
      </x:c>
      <x:c r="L79" s="50" t="str">
        <x:v>—</x:v>
      </x:c>
      <x:c r="M79" s="49" t="n">
        <x:v>0</x:v>
      </x:c>
      <x:c r="N79" s="49" t="n">
        <x:v>0</x:v>
      </x:c>
      <x:c r="O79" s="49" t="n">
        <x:f>IF(D79="Meal",M79,N79)</x:f>
        <x:v>0</x:v>
      </x:c>
      <x:c r="P79" s="49" t="n">
        <x:f>IF(G79="Mythic",10,IF(G79="Rare",7,IF(G79="Uncommon",4,2)))</x:f>
        <x:v>2</x:v>
      </x:c>
      <x:c r="Q79" s="50" t="str">
        <x:v>Swap the attack and health of a unit.</x:v>
      </x:c>
      <x:c r="R79" s="50" t="str">
        <x:v>Generic Tool resolution | effects: swap_attack_health</x:v>
      </x:c>
      <x:c r="S79" s="54" t="str">
        <x:v>Implemented</x:v>
      </x:c>
      <x:c r="T79" s="50" t="str">
        <x:v>data/cards.json + CookingCombatService.gd</x:v>
      </x:c>
    </x:row>
    <x:row r="80" ht="45" customHeight="1">
      <x:c r="A80" s="44" t="str">
        <x:v>Switchblade</x:v>
      </x:c>
      <x:c r="B80" s="44" t="str"/>
      <x:c r="C80" s="44" t="str">
        <x:v>item_switchblade</x:v>
      </x:c>
      <x:c r="D80" s="44" t="str">
        <x:v>Tool</x:v>
      </x:c>
      <x:c r="E80" s="44" t="str">
        <x:v>Neutral</x:v>
      </x:c>
      <x:c r="F80" s="44" t="str">
        <x:v>No</x:v>
      </x:c>
      <x:c r="G80" s="44" t="str">
        <x:f>IF(D80="Chef","Mythic",IF(F80="Yes","Rare",IF(OR(D80="Meal",D80="Spice",D80="Environment"),"Uncommon","Common")))</x:f>
        <x:v>Common</x:v>
      </x:c>
      <x:c r="H80" s="49"/>
      <x:c r="I80" s="49"/>
      <x:c r="J80" s="44" t="str"/>
      <x:c r="K80" s="50" t="str">
        <x:v>No additional cost</x:v>
      </x:c>
      <x:c r="L80" s="50" t="str">
        <x:v>—</x:v>
      </x:c>
      <x:c r="M80" s="49" t="n">
        <x:v>0</x:v>
      </x:c>
      <x:c r="N80" s="49" t="n">
        <x:v>0</x:v>
      </x:c>
      <x:c r="O80" s="49" t="n">
        <x:f>IF(D80="Meal",M80,N80)</x:f>
        <x:v>0</x:v>
      </x:c>
      <x:c r="P80" s="49" t="n">
        <x:f>IF(G80="Mythic",10,IF(G80="Rare",7,IF(G80="Uncommon",4,2)))</x:f>
        <x:v>2</x:v>
      </x:c>
      <x:c r="Q80" s="50" t="str">
        <x:v>Switch one of your Plated foods with one of your Prep foods. This does not count as your switch for the turn.</x:v>
      </x:c>
      <x:c r="R80" s="50" t="str">
        <x:v>Generic Tool resolution | effects: switch_friendly_zones</x:v>
      </x:c>
      <x:c r="S80" s="54" t="str">
        <x:v>Implemented</x:v>
      </x:c>
      <x:c r="T80" s="50" t="str">
        <x:v>data/cards.json + CookingCombatService.gd</x:v>
      </x:c>
    </x:row>
    <x:row r="81" ht="45" customHeight="1">
      <x:c r="A81" s="44" t="str">
        <x:v>Grater</x:v>
      </x:c>
      <x:c r="B81" s="44" t="str"/>
      <x:c r="C81" s="44" t="str">
        <x:v>item_grater</x:v>
      </x:c>
      <x:c r="D81" s="44" t="str">
        <x:v>Tool</x:v>
      </x:c>
      <x:c r="E81" s="44" t="str">
        <x:v>Neutral</x:v>
      </x:c>
      <x:c r="F81" s="44" t="str">
        <x:v>No</x:v>
      </x:c>
      <x:c r="G81" s="44" t="str">
        <x:f>IF(D81="Chef","Mythic",IF(F81="Yes","Rare",IF(OR(D81="Meal",D81="Spice",D81="Environment"),"Uncommon","Common")))</x:f>
        <x:v>Common</x:v>
      </x:c>
      <x:c r="H81" s="49"/>
      <x:c r="I81" s="49"/>
      <x:c r="J81" s="44" t="str"/>
      <x:c r="K81" s="50" t="str">
        <x:v>No additional cost</x:v>
      </x:c>
      <x:c r="L81" s="50" t="str">
        <x:v>—</x:v>
      </x:c>
      <x:c r="M81" s="49" t="n">
        <x:v>0</x:v>
      </x:c>
      <x:c r="N81" s="49" t="n">
        <x:v>0</x:v>
      </x:c>
      <x:c r="O81" s="49" t="n">
        <x:f>IF(D81="Meal",M81,N81)</x:f>
        <x:v>0</x:v>
      </x:c>
      <x:c r="P81" s="49" t="n">
        <x:f>IF(G81="Mythic",10,IF(G81="Rare",7,IF(G81="Uncommon",4,2)))</x:f>
        <x:v>2</x:v>
      </x:c>
      <x:c r="Q81" s="50" t="str">
        <x:v>Remove a Spice from an opposing unit.</x:v>
      </x:c>
      <x:c r="R81" s="50" t="str">
        <x:v>Generic Tool resolution | effects: remove_enemy_spice</x:v>
      </x:c>
      <x:c r="S81" s="54" t="str">
        <x:v>Implemented</x:v>
      </x:c>
      <x:c r="T81" s="50" t="str">
        <x:v>data/cards.json + CookingCombatService.gd</x:v>
      </x:c>
    </x:row>
    <x:row r="82" ht="45" customHeight="1">
      <x:c r="A82" s="44" t="str">
        <x:v>Measuring Cup</x:v>
      </x:c>
      <x:c r="B82" s="44" t="str"/>
      <x:c r="C82" s="44" t="str">
        <x:v>item_measuring_cup</x:v>
      </x:c>
      <x:c r="D82" s="44" t="str">
        <x:v>Tool</x:v>
      </x:c>
      <x:c r="E82" s="44" t="str">
        <x:v>Neutral</x:v>
      </x:c>
      <x:c r="F82" s="44" t="str">
        <x:v>No</x:v>
      </x:c>
      <x:c r="G82" s="44" t="str">
        <x:f>IF(D82="Chef","Mythic",IF(F82="Yes","Rare",IF(OR(D82="Meal",D82="Spice",D82="Environment"),"Uncommon","Common")))</x:f>
        <x:v>Common</x:v>
      </x:c>
      <x:c r="H82" s="49"/>
      <x:c r="I82" s="49"/>
      <x:c r="J82" s="44" t="str"/>
      <x:c r="K82" s="50" t="str">
        <x:v>Discard 2 cards</x:v>
      </x:c>
      <x:c r="L82" s="50" t="str">
        <x:v>—</x:v>
      </x:c>
      <x:c r="M82" s="49" t="n">
        <x:v>0</x:v>
      </x:c>
      <x:c r="N82" s="49" t="n">
        <x:v>2</x:v>
      </x:c>
      <x:c r="O82" s="49" t="n">
        <x:f>IF(D82="Meal",M82,N82)</x:f>
        <x:v>2</x:v>
      </x:c>
      <x:c r="P82" s="49" t="n">
        <x:f>IF(G82="Mythic",10,IF(G82="Rare",7,IF(G82="Uncommon",4,2)))</x:f>
        <x:v>2</x:v>
      </x:c>
      <x:c r="Q82" s="50" t="str">
        <x:v>Discard 2 cards; return 2 units from your discard to your hand.</x:v>
      </x:c>
      <x:c r="R82" s="50" t="str">
        <x:v>Generic Tool resolution | effects: recover</x:v>
      </x:c>
      <x:c r="S82" s="54" t="str">
        <x:v>Implemented</x:v>
      </x:c>
      <x:c r="T82" s="50" t="str">
        <x:v>data/cards.json + CookingCombatService.gd</x:v>
      </x:c>
    </x:row>
    <x:row r="83" ht="45" customHeight="1">
      <x:c r="A83" s="44" t="str">
        <x:v>Wooden Spoon</x:v>
      </x:c>
      <x:c r="B83" s="44" t="str"/>
      <x:c r="C83" s="44" t="str">
        <x:v>item_wooden_spoon</x:v>
      </x:c>
      <x:c r="D83" s="44" t="str">
        <x:v>Tool</x:v>
      </x:c>
      <x:c r="E83" s="44" t="str">
        <x:v>Neutral</x:v>
      </x:c>
      <x:c r="F83" s="44" t="str">
        <x:v>No</x:v>
      </x:c>
      <x:c r="G83" s="44" t="str">
        <x:f>IF(D83="Chef","Mythic",IF(F83="Yes","Rare",IF(OR(D83="Meal",D83="Spice",D83="Environment"),"Uncommon","Common")))</x:f>
        <x:v>Common</x:v>
      </x:c>
      <x:c r="H83" s="49"/>
      <x:c r="I83" s="49"/>
      <x:c r="J83" s="44" t="str"/>
      <x:c r="K83" s="50" t="str">
        <x:v>No additional cost</x:v>
      </x:c>
      <x:c r="L83" s="50" t="str">
        <x:v>—</x:v>
      </x:c>
      <x:c r="M83" s="49" t="n">
        <x:v>0</x:v>
      </x:c>
      <x:c r="N83" s="49" t="n">
        <x:v>0</x:v>
      </x:c>
      <x:c r="O83" s="49" t="n">
        <x:f>IF(D83="Meal",M83,N83)</x:f>
        <x:v>0</x:v>
      </x:c>
      <x:c r="P83" s="49" t="n">
        <x:f>IF(G83="Mythic",10,IF(G83="Rare",7,IF(G83="Uncommon",4,2)))</x:f>
        <x:v>2</x:v>
      </x:c>
      <x:c r="Q83" s="50" t="str">
        <x:v>Draw 1 card.</x:v>
      </x:c>
      <x:c r="R83" s="50" t="str">
        <x:v>Generic Tool resolution | effects: draw</x:v>
      </x:c>
      <x:c r="S83" s="54" t="str">
        <x:v>Implemented</x:v>
      </x:c>
      <x:c r="T83" s="50" t="str">
        <x:v>data/cards.json + CookingCombatService.gd</x:v>
      </x:c>
    </x:row>
    <x:row r="84" ht="45" customHeight="1">
      <x:c r="A84" s="44" t="str">
        <x:v>Cayenne Crunch</x:v>
      </x:c>
      <x:c r="B84" s="44" t="str"/>
      <x:c r="C84" s="44" t="str">
        <x:v>spice_cayenne_crunch</x:v>
      </x:c>
      <x:c r="D84" s="44" t="str">
        <x:v>Spice</x:v>
      </x:c>
      <x:c r="E84" s="44" t="str">
        <x:v>Spicy</x:v>
      </x:c>
      <x:c r="F84" s="44" t="str">
        <x:v>No</x:v>
      </x:c>
      <x:c r="G84" s="44" t="str">
        <x:f>IF(D84="Chef","Mythic",IF(F84="Yes","Rare",IF(OR(D84="Meal",D84="Spice",D84="Environment"),"Uncommon","Common")))</x:f>
        <x:v>Uncommon</x:v>
      </x:c>
      <x:c r="H84" s="49"/>
      <x:c r="I84" s="49"/>
      <x:c r="J84" s="44" t="str"/>
      <x:c r="K84" s="50" t="str">
        <x:v>No additional cost</x:v>
      </x:c>
      <x:c r="L84" s="50" t="str">
        <x:v>—</x:v>
      </x:c>
      <x:c r="M84" s="49" t="n">
        <x:v>0</x:v>
      </x:c>
      <x:c r="N84" s="49" t="n">
        <x:v>0</x:v>
      </x:c>
      <x:c r="O84" s="49" t="n">
        <x:f>IF(D84="Meal",M84,N84)</x:f>
        <x:v>0</x:v>
      </x:c>
      <x:c r="P84" s="49" t="n">
        <x:f>IF(G84="Mythic",10,IF(G84="Rare",7,IF(G84="Uncommon",4,2)))</x:f>
        <x:v>4</x:v>
      </x:c>
      <x:c r="Q84" s="50" t="str">
        <x:v>Attached card gets +1 Attack.</x:v>
      </x:c>
      <x:c r="R84" s="50" t="str">
        <x:v>Generic Spice attachment | attachment bonus: +1/+0</x:v>
      </x:c>
      <x:c r="S84" s="54" t="str">
        <x:v>Implemented</x:v>
      </x:c>
      <x:c r="T84" s="50" t="str">
        <x:v>data/cards.json + CookingCombatService.gd</x:v>
      </x:c>
    </x:row>
    <x:row r="85" ht="45" customHeight="1">
      <x:c r="A85" s="44" t="str">
        <x:v>Savory Gravy</x:v>
      </x:c>
      <x:c r="B85" s="44" t="str"/>
      <x:c r="C85" s="44" t="str">
        <x:v>spice_savory_gravy</x:v>
      </x:c>
      <x:c r="D85" s="44" t="str">
        <x:v>Spice</x:v>
      </x:c>
      <x:c r="E85" s="44" t="str">
        <x:v>Hearty</x:v>
      </x:c>
      <x:c r="F85" s="44" t="str">
        <x:v>No</x:v>
      </x:c>
      <x:c r="G85" s="44" t="str">
        <x:f>IF(D85="Chef","Mythic",IF(F85="Yes","Rare",IF(OR(D85="Meal",D85="Spice",D85="Environment"),"Uncommon","Common")))</x:f>
        <x:v>Uncommon</x:v>
      </x:c>
      <x:c r="H85" s="49"/>
      <x:c r="I85" s="49"/>
      <x:c r="J85" s="44" t="str"/>
      <x:c r="K85" s="50" t="str">
        <x:v>No additional cost</x:v>
      </x:c>
      <x:c r="L85" s="50" t="str">
        <x:v>—</x:v>
      </x:c>
      <x:c r="M85" s="49" t="n">
        <x:v>0</x:v>
      </x:c>
      <x:c r="N85" s="49" t="n">
        <x:v>0</x:v>
      </x:c>
      <x:c r="O85" s="49" t="n">
        <x:f>IF(D85="Meal",M85,N85)</x:f>
        <x:v>0</x:v>
      </x:c>
      <x:c r="P85" s="49" t="n">
        <x:f>IF(G85="Mythic",10,IF(G85="Rare",7,IF(G85="Uncommon",4,2)))</x:f>
        <x:v>4</x:v>
      </x:c>
      <x:c r="Q85" s="50" t="str">
        <x:v>Attached card gets +2 Health.</x:v>
      </x:c>
      <x:c r="R85" s="50" t="str">
        <x:v>Generic Spice attachment | attachment bonus: +0/+2</x:v>
      </x:c>
      <x:c r="S85" s="54" t="str">
        <x:v>Implemented</x:v>
      </x:c>
      <x:c r="T85" s="50" t="str">
        <x:v>data/cards.json + CookingCombatService.gd</x:v>
      </x:c>
    </x:row>
    <x:row r="86" ht="45" customHeight="1">
      <x:c r="A86" s="44" t="str">
        <x:v>Sugar Glaze</x:v>
      </x:c>
      <x:c r="B86" s="44" t="str"/>
      <x:c r="C86" s="44" t="str">
        <x:v>spice_sugar_glaze</x:v>
      </x:c>
      <x:c r="D86" s="44" t="str">
        <x:v>Spice</x:v>
      </x:c>
      <x:c r="E86" s="44" t="str">
        <x:v>Sweet</x:v>
      </x:c>
      <x:c r="F86" s="44" t="str">
        <x:v>No</x:v>
      </x:c>
      <x:c r="G86" s="44" t="str">
        <x:f>IF(D86="Chef","Mythic",IF(F86="Yes","Rare",IF(OR(D86="Meal",D86="Spice",D86="Environment"),"Uncommon","Common")))</x:f>
        <x:v>Uncommon</x:v>
      </x:c>
      <x:c r="H86" s="49"/>
      <x:c r="I86" s="49"/>
      <x:c r="J86" s="44" t="str"/>
      <x:c r="K86" s="50" t="str">
        <x:v>No additional cost</x:v>
      </x:c>
      <x:c r="L86" s="50" t="str">
        <x:v>—</x:v>
      </x:c>
      <x:c r="M86" s="49" t="n">
        <x:v>0</x:v>
      </x:c>
      <x:c r="N86" s="49" t="n">
        <x:v>0</x:v>
      </x:c>
      <x:c r="O86" s="49" t="n">
        <x:f>IF(D86="Meal",M86,N86)</x:f>
        <x:v>0</x:v>
      </x:c>
      <x:c r="P86" s="49" t="n">
        <x:f>IF(G86="Mythic",10,IF(G86="Rare",7,IF(G86="Uncommon",4,2)))</x:f>
        <x:v>4</x:v>
      </x:c>
      <x:c r="Q86" s="50" t="str">
        <x:v>Attached card gets +1/+1.</x:v>
      </x:c>
      <x:c r="R86" s="50" t="str">
        <x:v>Generic Spice attachment | attachment bonus: +1/+1</x:v>
      </x:c>
      <x:c r="S86" s="54" t="str">
        <x:v>Implemented</x:v>
      </x:c>
      <x:c r="T86" s="50" t="str">
        <x:v>data/cards.json + CookingCombatService.gd</x:v>
      </x:c>
    </x:row>
    <x:row r="87" ht="45" customHeight="1">
      <x:c r="A87" s="44" t="str">
        <x:v>Blazing Wok</x:v>
      </x:c>
      <x:c r="B87" s="44" t="str"/>
      <x:c r="C87" s="44" t="str">
        <x:v>environment_blazing_wok</x:v>
      </x:c>
      <x:c r="D87" s="44" t="str">
        <x:v>Environment</x:v>
      </x:c>
      <x:c r="E87" s="44" t="str">
        <x:v>Spicy</x:v>
      </x:c>
      <x:c r="F87" s="44" t="str">
        <x:v>No</x:v>
      </x:c>
      <x:c r="G87" s="44" t="str">
        <x:f>IF(D87="Chef","Mythic",IF(F87="Yes","Rare",IF(OR(D87="Meal",D87="Spice",D87="Environment"),"Uncommon","Common")))</x:f>
        <x:v>Uncommon</x:v>
      </x:c>
      <x:c r="H87" s="49"/>
      <x:c r="I87" s="49"/>
      <x:c r="J87" s="44" t="str"/>
      <x:c r="K87" s="50" t="str">
        <x:v>No additional cost</x:v>
      </x:c>
      <x:c r="L87" s="50" t="str">
        <x:v>—</x:v>
      </x:c>
      <x:c r="M87" s="49" t="n">
        <x:v>0</x:v>
      </x:c>
      <x:c r="N87" s="49" t="n">
        <x:v>0</x:v>
      </x:c>
      <x:c r="O87" s="49" t="n">
        <x:f>IF(D87="Meal",M87,N87)</x:f>
        <x:v>0</x:v>
      </x:c>
      <x:c r="P87" s="49" t="n">
        <x:f>IF(G87="Mythic",10,IF(G87="Rare",7,IF(G87="Uncommon",4,2)))</x:f>
        <x:v>4</x:v>
      </x:c>
      <x:c r="Q87" s="50" t="str">
        <x:v>Meals you serve enter with +1 Attack.</x:v>
      </x:c>
      <x:c r="R87" s="50" t="str">
        <x:v>Generic Environment zone | served Meals +1 ATK</x:v>
      </x:c>
      <x:c r="S87" s="54" t="str">
        <x:v>Implemented</x:v>
      </x:c>
      <x:c r="T87" s="50" t="str">
        <x:v>data/cards.json + CookingCombatService.gd</x:v>
      </x:c>
    </x:row>
    <x:row r="88" ht="45" customHeight="1">
      <x:c r="A88" s="44" t="str">
        <x:v>Slow Cooker</x:v>
      </x:c>
      <x:c r="B88" s="44" t="str"/>
      <x:c r="C88" s="44" t="str">
        <x:v>environment_slow_cooker</x:v>
      </x:c>
      <x:c r="D88" s="44" t="str">
        <x:v>Environment</x:v>
      </x:c>
      <x:c r="E88" s="44" t="str">
        <x:v>Hearty</x:v>
      </x:c>
      <x:c r="F88" s="44" t="str">
        <x:v>No</x:v>
      </x:c>
      <x:c r="G88" s="44" t="str">
        <x:f>IF(D88="Chef","Mythic",IF(F88="Yes","Rare",IF(OR(D88="Meal",D88="Spice",D88="Environment"),"Uncommon","Common")))</x:f>
        <x:v>Uncommon</x:v>
      </x:c>
      <x:c r="H88" s="49"/>
      <x:c r="I88" s="49"/>
      <x:c r="J88" s="44" t="str"/>
      <x:c r="K88" s="50" t="str">
        <x:v>No additional cost</x:v>
      </x:c>
      <x:c r="L88" s="50" t="str">
        <x:v>—</x:v>
      </x:c>
      <x:c r="M88" s="49" t="n">
        <x:v>0</x:v>
      </x:c>
      <x:c r="N88" s="49" t="n">
        <x:v>0</x:v>
      </x:c>
      <x:c r="O88" s="49" t="n">
        <x:f>IF(D88="Meal",M88,N88)</x:f>
        <x:v>0</x:v>
      </x:c>
      <x:c r="P88" s="49" t="n">
        <x:f>IF(G88="Mythic",10,IF(G88="Rare",7,IF(G88="Uncommon",4,2)))</x:f>
        <x:v>4</x:v>
      </x:c>
      <x:c r="Q88" s="50" t="str">
        <x:v>At the start of your turn, each of your Ingredients gets +1/+1.</x:v>
      </x:c>
      <x:c r="R88" s="50" t="str">
        <x:v>Generic Environment zone | start-turn Ingredients +1/+1</x:v>
      </x:c>
      <x:c r="S88" s="54" t="str">
        <x:v>Implemented</x:v>
      </x:c>
      <x:c r="T88" s="50" t="str">
        <x:v>data/cards.json + CookingCombatService.gd</x:v>
      </x:c>
    </x:row>
    <x:row r="89" ht="45" customHeight="1">
      <x:c r="A89" s="44" t="str">
        <x:v>Dessert Display</x:v>
      </x:c>
      <x:c r="B89" s="44" t="str"/>
      <x:c r="C89" s="44" t="str">
        <x:v>environment_dessert_display</x:v>
      </x:c>
      <x:c r="D89" s="44" t="str">
        <x:v>Environment</x:v>
      </x:c>
      <x:c r="E89" s="44" t="str">
        <x:v>Sweet</x:v>
      </x:c>
      <x:c r="F89" s="44" t="str">
        <x:v>No</x:v>
      </x:c>
      <x:c r="G89" s="44" t="str">
        <x:f>IF(D89="Chef","Mythic",IF(F89="Yes","Rare",IF(OR(D89="Meal",D89="Spice",D89="Environment"),"Uncommon","Common")))</x:f>
        <x:v>Uncommon</x:v>
      </x:c>
      <x:c r="H89" s="49"/>
      <x:c r="I89" s="49"/>
      <x:c r="J89" s="44" t="str"/>
      <x:c r="K89" s="50" t="str">
        <x:v>No additional cost</x:v>
      </x:c>
      <x:c r="L89" s="50" t="str">
        <x:v>—</x:v>
      </x:c>
      <x:c r="M89" s="49" t="n">
        <x:v>0</x:v>
      </x:c>
      <x:c r="N89" s="49" t="n">
        <x:v>0</x:v>
      </x:c>
      <x:c r="O89" s="49" t="n">
        <x:f>IF(D89="Meal",M89,N89)</x:f>
        <x:v>0</x:v>
      </x:c>
      <x:c r="P89" s="49" t="n">
        <x:f>IF(G89="Mythic",10,IF(G89="Rare",7,IF(G89="Uncommon",4,2)))</x:f>
        <x:v>4</x:v>
      </x:c>
      <x:c r="Q89" s="50" t="str">
        <x:v>Meals you serve enter with +1 Health.</x:v>
      </x:c>
      <x:c r="R89" s="50" t="str">
        <x:v>Generic Environment zone | served Meals +1 HP</x:v>
      </x:c>
      <x:c r="S89" s="54" t="str">
        <x:v>Implemented</x:v>
      </x:c>
      <x:c r="T89" s="50" t="str">
        <x:v>data/cards.json + CookingCombatService.gd</x:v>
      </x:c>
    </x:row>
    <x:row r="90" ht="45" customHeight="1">
      <x:c r="A90" s="44" t="str">
        <x:v>Chef Carmy</x:v>
      </x:c>
      <x:c r="B90" s="44" t="str"/>
      <x:c r="C90" s="44" t="str">
        <x:v>chef_john</x:v>
      </x:c>
      <x:c r="D90" s="44" t="str">
        <x:v>Chef</x:v>
      </x:c>
      <x:c r="E90" s="44" t="str">
        <x:v>Neutral</x:v>
      </x:c>
      <x:c r="F90" s="44" t="str">
        <x:v>No</x:v>
      </x:c>
      <x:c r="G90" s="44" t="str">
        <x:f>IF(D90="Chef","Mythic",IF(F90="Yes","Rare",IF(OR(D90="Meal",D90="Spice",D90="Environment"),"Uncommon","Common")))</x:f>
        <x:v>Mythic</x:v>
      </x:c>
      <x:c r="H90" s="49"/>
      <x:c r="I90" s="49"/>
      <x:c r="J90" s="44" t="str"/>
      <x:c r="K90" s="50" t="str">
        <x:v>No additional cost</x:v>
      </x:c>
      <x:c r="L90" s="50" t="str">
        <x:v>—</x:v>
      </x:c>
      <x:c r="M90" s="49" t="n">
        <x:v>0</x:v>
      </x:c>
      <x:c r="N90" s="49" t="n">
        <x:v>0</x:v>
      </x:c>
      <x:c r="O90" s="49" t="n">
        <x:f>IF(D90="Meal",M90,N90)</x:f>
        <x:v>0</x:v>
      </x:c>
      <x:c r="P90" s="49" t="n">
        <x:f>IF(G90="Mythic",10,IF(G90="Rare",7,IF(G90="Uncommon",4,2)))</x:f>
        <x:v>10</x:v>
      </x:c>
      <x:c r="Q90" s="50" t="str">
        <x:v>Discard your hand, then draw 6 cards.</x:v>
      </x:c>
      <x:c r="R90" s="50" t="str">
        <x:v>Generic Chef resolution | effects: discard_hand, draw</x:v>
      </x:c>
      <x:c r="S90" s="54" t="str">
        <x:v>Implemented</x:v>
      </x:c>
      <x:c r="T90" s="50" t="str">
        <x:v>data/cards.json + CookingCombatService.gd</x:v>
      </x:c>
    </x:row>
    <x:row r="91" ht="45" customHeight="1">
      <x:c r="A91" s="44" t="str">
        <x:v>Chef Rachel</x:v>
      </x:c>
      <x:c r="B91" s="44" t="str"/>
      <x:c r="C91" s="44" t="str">
        <x:v>chef_bill</x:v>
      </x:c>
      <x:c r="D91" s="44" t="str">
        <x:v>Chef</x:v>
      </x:c>
      <x:c r="E91" s="44" t="str">
        <x:v>Neutral</x:v>
      </x:c>
      <x:c r="F91" s="44" t="str">
        <x:v>No</x:v>
      </x:c>
      <x:c r="G91" s="44" t="str">
        <x:f>IF(D91="Chef","Mythic",IF(F91="Yes","Rare",IF(OR(D91="Meal",D91="Spice",D91="Environment"),"Uncommon","Common")))</x:f>
        <x:v>Mythic</x:v>
      </x:c>
      <x:c r="H91" s="49"/>
      <x:c r="I91" s="49"/>
      <x:c r="J91" s="44" t="str"/>
      <x:c r="K91" s="50" t="str">
        <x:v>No additional cost</x:v>
      </x:c>
      <x:c r="L91" s="50" t="str">
        <x:v>—</x:v>
      </x:c>
      <x:c r="M91" s="49" t="n">
        <x:v>0</x:v>
      </x:c>
      <x:c r="N91" s="49" t="n">
        <x:v>0</x:v>
      </x:c>
      <x:c r="O91" s="49" t="n">
        <x:f>IF(D91="Meal",M91,N91)</x:f>
        <x:v>0</x:v>
      </x:c>
      <x:c r="P91" s="49" t="n">
        <x:f>IF(G91="Mythic",10,IF(G91="Rare",7,IF(G91="Uncommon",4,2)))</x:f>
        <x:v>10</x:v>
      </x:c>
      <x:c r="Q91" s="50" t="str">
        <x:v>Search your deck for 1 Ingredient and 1 Meal.</x:v>
      </x:c>
      <x:c r="R91" s="50" t="str">
        <x:v>Generic Chef resolution | effects: search, search</x:v>
      </x:c>
      <x:c r="S91" s="54" t="str">
        <x:v>Implemented</x:v>
      </x:c>
      <x:c r="T91" s="50" t="str">
        <x:v>data/cards.json + CookingCombatService.gd</x:v>
      </x:c>
    </x:row>
    <x:row r="92" ht="45" customHeight="1">
      <x:c r="A92" s="44" t="str">
        <x:v>Chef Ramsey</x:v>
      </x:c>
      <x:c r="B92" s="44" t="str"/>
      <x:c r="C92" s="44" t="str">
        <x:v>chef_carl</x:v>
      </x:c>
      <x:c r="D92" s="44" t="str">
        <x:v>Chef</x:v>
      </x:c>
      <x:c r="E92" s="44" t="str">
        <x:v>Neutral</x:v>
      </x:c>
      <x:c r="F92" s="44" t="str">
        <x:v>No</x:v>
      </x:c>
      <x:c r="G92" s="44" t="str">
        <x:f>IF(D92="Chef","Mythic",IF(F92="Yes","Rare",IF(OR(D92="Meal",D92="Spice",D92="Environment"),"Uncommon","Common")))</x:f>
        <x:v>Mythic</x:v>
      </x:c>
      <x:c r="H92" s="49"/>
      <x:c r="I92" s="49"/>
      <x:c r="J92" s="44" t="str"/>
      <x:c r="K92" s="50" t="str">
        <x:v>No additional cost</x:v>
      </x:c>
      <x:c r="L92" s="50" t="str">
        <x:v>—</x:v>
      </x:c>
      <x:c r="M92" s="49" t="n">
        <x:v>0</x:v>
      </x:c>
      <x:c r="N92" s="49" t="n">
        <x:v>0</x:v>
      </x:c>
      <x:c r="O92" s="49" t="n">
        <x:f>IF(D92="Meal",M92,N92)</x:f>
        <x:v>0</x:v>
      </x:c>
      <x:c r="P92" s="49" t="n">
        <x:f>IF(G92="Mythic",10,IF(G92="Rare",7,IF(G92="Uncommon",4,2)))</x:f>
        <x:v>10</x:v>
      </x:c>
      <x:c r="Q92" s="50" t="str">
        <x:v>Return 1 Meal from your discard to your hand.</x:v>
      </x:c>
      <x:c r="R92" s="50" t="str">
        <x:v>Generic Chef resolution | effects: recover</x:v>
      </x:c>
      <x:c r="S92" s="54" t="str">
        <x:v>Implemented</x:v>
      </x:c>
      <x:c r="T92" s="50" t="str">
        <x:v>data/cards.json + CookingCombatService.gd</x:v>
      </x:c>
    </x:row>
    <x:row r="93" ht="45" customHeight="1">
      <x:c r="A93" s="44" t="str">
        <x:v>Chef Giada</x:v>
      </x:c>
      <x:c r="B93" s="44" t="str"/>
      <x:c r="C93" s="44" t="str">
        <x:v>chef_mary</x:v>
      </x:c>
      <x:c r="D93" s="44" t="str">
        <x:v>Chef</x:v>
      </x:c>
      <x:c r="E93" s="44" t="str">
        <x:v>Neutral</x:v>
      </x:c>
      <x:c r="F93" s="44" t="str">
        <x:v>No</x:v>
      </x:c>
      <x:c r="G93" s="44" t="str">
        <x:f>IF(D93="Chef","Mythic",IF(F93="Yes","Rare",IF(OR(D93="Meal",D93="Spice",D93="Environment"),"Uncommon","Common")))</x:f>
        <x:v>Mythic</x:v>
      </x:c>
      <x:c r="H93" s="49"/>
      <x:c r="I93" s="49"/>
      <x:c r="J93" s="44" t="str"/>
      <x:c r="K93" s="50" t="str">
        <x:v>No additional cost</x:v>
      </x:c>
      <x:c r="L93" s="50" t="str">
        <x:v>—</x:v>
      </x:c>
      <x:c r="M93" s="49" t="n">
        <x:v>0</x:v>
      </x:c>
      <x:c r="N93" s="49" t="n">
        <x:v>0</x:v>
      </x:c>
      <x:c r="O93" s="49" t="n">
        <x:f>IF(D93="Meal",M93,N93)</x:f>
        <x:v>0</x:v>
      </x:c>
      <x:c r="P93" s="49" t="n">
        <x:f>IF(G93="Mythic",10,IF(G93="Rare",7,IF(G93="Uncommon",4,2)))</x:f>
        <x:v>10</x:v>
      </x:c>
      <x:c r="Q93" s="50" t="str">
        <x:v>Draw 3 cards.</x:v>
      </x:c>
      <x:c r="R93" s="50" t="str">
        <x:v>Generic Chef resolution | effects: draw</x:v>
      </x:c>
      <x:c r="S93" s="54" t="str">
        <x:v>Implemented</x:v>
      </x:c>
      <x:c r="T93" s="50" t="str">
        <x:v>data/cards.json + CookingCombatService.gd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2b63fdd4bab343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.25" hidden="0" customWidth="1"/>
    <x:col min="3" max="3" width="15" hidden="0" customWidth="1"/>
    <x:col min="4" max="4" width="11.25" hidden="0" customWidth="1"/>
    <x:col min="5" max="5" width="8.75" hidden="0" customWidth="1"/>
    <x:col min="6" max="6" width="8.75" hidden="0" customWidth="1"/>
    <x:col min="7" max="7" width="35" hidden="0" customWidth="1"/>
    <x:col min="8" max="8" width="53.75" hidden="0" customWidth="1"/>
  </x:cols>
  <x:sheetData>
    <x:row r="1">
      <x:c r="A1" s="3" t="str">
        <x:v>Runtime-Generated Cards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These game objects are mechanically implemented but are not collectible entries in data/cards.json.</x:v>
      </x:c>
      <x:c r="B2" s="6"/>
      <x:c r="C2" s="6"/>
      <x:c r="D2" s="6"/>
      <x:c r="E2" s="6"/>
      <x:c r="F2" s="6"/>
      <x:c r="G2" s="6"/>
      <x:c r="H2" s="6"/>
    </x:row>
    <x:row r="4">
      <x:c r="A4" s="48" t="str">
        <x:v>Name</x:v>
      </x:c>
      <x:c r="B4" s="48" t="str">
        <x:v>Card ID</x:v>
      </x:c>
      <x:c r="C4" s="48" t="str">
        <x:v>Card Type</x:v>
      </x:c>
      <x:c r="D4" s="48" t="str">
        <x:v>Archetype</x:v>
      </x:c>
      <x:c r="E4" s="48" t="str">
        <x:v>Attack</x:v>
      </x:c>
      <x:c r="F4" s="48" t="str">
        <x:v>Health</x:v>
      </x:c>
      <x:c r="G4" s="48" t="str">
        <x:v>Cost</x:v>
      </x:c>
      <x:c r="H4" s="48" t="str">
        <x:v>Effect / Rules</x:v>
      </x:c>
    </x:row>
    <x:row r="5" ht="43.5" customHeight="1">
      <x:c r="A5" s="50" t="str">
        <x:v>Fresh Ingredient Token</x:v>
      </x:c>
      <x:c r="B5" s="50" t="str">
        <x:v>token_fresh_ingredient</x:v>
      </x:c>
      <x:c r="C5" s="50" t="str">
        <x:v>Ingredient Token</x:v>
      </x:c>
      <x:c r="D5" s="50" t="str">
        <x:v>Fresh</x:v>
      </x:c>
      <x:c r="E5" s="50" t="n">
        <x:v>1</x:v>
      </x:c>
      <x:c r="F5" s="50" t="n">
        <x:v>1</x:v>
      </x:c>
      <x:c r="G5" s="50" t="str">
        <x:v>Created by card effects; not playable from a deck</x:v>
      </x:c>
      <x:c r="H5" s="50" t="str">
        <x:v>Token — disappears when it leaves play. Recipe-ready timing is controlled by the creating effect.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0dae684c25043e0"/>
  </x:tableParts>
</x:worksheet>
</file>