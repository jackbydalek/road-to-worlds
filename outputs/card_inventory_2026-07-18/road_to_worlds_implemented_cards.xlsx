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ck.bydalek/Documents/Road to Worlds/outputs/card_inventory_2026-07-18/"/>
    </mc:Choice>
  </mc:AlternateContent>
  <xr:revisionPtr revIDLastSave="0" documentId="13_ncr:1_{4734D15E-550A-1E44-8206-6969CFE14C90}" xr6:coauthVersionLast="47" xr6:coauthVersionMax="47" xr10:uidLastSave="{00000000-0000-0000-0000-000000000000}"/>
  <bookViews>
    <workbookView xWindow="-76800" yWindow="740" windowWidth="38400" windowHeight="21600" activeTab="1" xr2:uid="{00000000-000D-0000-FFFF-FFFF00000000}"/>
  </bookViews>
  <sheets>
    <sheet name="Summary" sheetId="1" r:id="rId1"/>
    <sheet name="Cards" sheetId="2" r:id="rId2"/>
    <sheet name="Starter D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" i="2" l="1"/>
  <c r="H92" i="2"/>
  <c r="N91" i="2"/>
  <c r="H91" i="2"/>
  <c r="N90" i="2"/>
  <c r="H90" i="2"/>
  <c r="N89" i="2"/>
  <c r="H89" i="2"/>
  <c r="N88" i="2"/>
  <c r="H88" i="2"/>
  <c r="N87" i="2"/>
  <c r="H87" i="2"/>
  <c r="N86" i="2"/>
  <c r="H86" i="2"/>
  <c r="N85" i="2"/>
  <c r="H85" i="2"/>
  <c r="N84" i="2"/>
  <c r="H84" i="2"/>
  <c r="N83" i="2"/>
  <c r="H83" i="2"/>
  <c r="N82" i="2"/>
  <c r="H82" i="2"/>
  <c r="N81" i="2"/>
  <c r="H81" i="2"/>
  <c r="N80" i="2"/>
  <c r="H80" i="2"/>
  <c r="N79" i="2"/>
  <c r="H79" i="2"/>
  <c r="N78" i="2"/>
  <c r="H78" i="2"/>
  <c r="N77" i="2"/>
  <c r="H77" i="2"/>
  <c r="N76" i="2"/>
  <c r="H76" i="2"/>
  <c r="N75" i="2"/>
  <c r="H75" i="2"/>
  <c r="N74" i="2"/>
  <c r="H74" i="2"/>
  <c r="N73" i="2"/>
  <c r="H73" i="2"/>
  <c r="N72" i="2"/>
  <c r="H72" i="2"/>
  <c r="N71" i="2"/>
  <c r="H71" i="2"/>
  <c r="N70" i="2"/>
  <c r="H70" i="2"/>
  <c r="N69" i="2"/>
  <c r="H69" i="2"/>
  <c r="N68" i="2"/>
  <c r="H68" i="2"/>
  <c r="N67" i="2"/>
  <c r="H67" i="2"/>
  <c r="N66" i="2"/>
  <c r="H66" i="2"/>
  <c r="N65" i="2"/>
  <c r="H65" i="2"/>
  <c r="N64" i="2"/>
  <c r="H64" i="2"/>
  <c r="N63" i="2"/>
  <c r="H63" i="2"/>
  <c r="N62" i="2"/>
  <c r="H62" i="2"/>
  <c r="N61" i="2"/>
  <c r="H61" i="2"/>
  <c r="N60" i="2"/>
  <c r="H60" i="2"/>
  <c r="N59" i="2"/>
  <c r="H59" i="2"/>
  <c r="N58" i="2"/>
  <c r="H58" i="2"/>
  <c r="N57" i="2"/>
  <c r="H57" i="2"/>
  <c r="N56" i="2"/>
  <c r="H56" i="2"/>
  <c r="N55" i="2"/>
  <c r="H55" i="2"/>
  <c r="N54" i="2"/>
  <c r="H54" i="2"/>
  <c r="N53" i="2"/>
  <c r="H53" i="2"/>
  <c r="N52" i="2"/>
  <c r="H52" i="2"/>
  <c r="N51" i="2"/>
  <c r="H51" i="2"/>
  <c r="N50" i="2"/>
  <c r="H50" i="2"/>
  <c r="N49" i="2"/>
  <c r="H49" i="2"/>
  <c r="N48" i="2"/>
  <c r="H48" i="2"/>
  <c r="N47" i="2"/>
  <c r="H47" i="2"/>
  <c r="N46" i="2"/>
  <c r="H46" i="2"/>
  <c r="N45" i="2"/>
  <c r="H45" i="2"/>
  <c r="N44" i="2"/>
  <c r="H44" i="2"/>
  <c r="N43" i="2"/>
  <c r="H43" i="2"/>
  <c r="N42" i="2"/>
  <c r="H42" i="2"/>
  <c r="N41" i="2"/>
  <c r="H41" i="2"/>
  <c r="N40" i="2"/>
  <c r="H40" i="2"/>
  <c r="N39" i="2"/>
  <c r="H39" i="2"/>
  <c r="N38" i="2"/>
  <c r="H38" i="2"/>
  <c r="N37" i="2"/>
  <c r="H37" i="2"/>
  <c r="N36" i="2"/>
  <c r="H36" i="2"/>
  <c r="N35" i="2"/>
  <c r="H35" i="2"/>
  <c r="N34" i="2"/>
  <c r="H34" i="2"/>
  <c r="N33" i="2"/>
  <c r="H33" i="2"/>
  <c r="N32" i="2"/>
  <c r="H32" i="2"/>
  <c r="N31" i="2"/>
  <c r="H31" i="2"/>
  <c r="N30" i="2"/>
  <c r="H30" i="2"/>
  <c r="N29" i="2"/>
  <c r="H29" i="2"/>
  <c r="N28" i="2"/>
  <c r="H28" i="2"/>
  <c r="N27" i="2"/>
  <c r="H27" i="2"/>
  <c r="N26" i="2"/>
  <c r="H26" i="2"/>
  <c r="N25" i="2"/>
  <c r="H25" i="2"/>
  <c r="N24" i="2"/>
  <c r="H24" i="2"/>
  <c r="N23" i="2"/>
  <c r="H23" i="2"/>
  <c r="N22" i="2"/>
  <c r="H22" i="2"/>
  <c r="N21" i="2"/>
  <c r="H21" i="2"/>
  <c r="N20" i="2"/>
  <c r="H20" i="2"/>
  <c r="N19" i="2"/>
  <c r="H19" i="2"/>
  <c r="N18" i="2"/>
  <c r="H18" i="2"/>
  <c r="N17" i="2"/>
  <c r="H17" i="2"/>
  <c r="N16" i="2"/>
  <c r="H16" i="2"/>
  <c r="N15" i="2"/>
  <c r="H15" i="2"/>
  <c r="N14" i="2"/>
  <c r="H14" i="2"/>
  <c r="N13" i="2"/>
  <c r="H13" i="2"/>
  <c r="N12" i="2"/>
  <c r="H12" i="2"/>
  <c r="N11" i="2"/>
  <c r="H11" i="2"/>
  <c r="N10" i="2"/>
  <c r="H10" i="2"/>
  <c r="N9" i="2"/>
  <c r="H9" i="2"/>
  <c r="N8" i="2"/>
  <c r="H8" i="2"/>
  <c r="N7" i="2"/>
  <c r="H7" i="2"/>
  <c r="N6" i="2"/>
  <c r="H6" i="2"/>
  <c r="N5" i="2"/>
  <c r="H5" i="2"/>
  <c r="B18" i="1"/>
  <c r="E17" i="1"/>
  <c r="B17" i="1"/>
  <c r="E16" i="1"/>
  <c r="B16" i="1"/>
  <c r="E15" i="1"/>
  <c r="B15" i="1"/>
  <c r="E14" i="1"/>
  <c r="B14" i="1"/>
  <c r="E13" i="1"/>
  <c r="B13" i="1"/>
  <c r="E10" i="1"/>
  <c r="E9" i="1"/>
  <c r="E8" i="1"/>
  <c r="E7" i="1"/>
  <c r="E6" i="1"/>
  <c r="B6" i="1"/>
  <c r="E5" i="1"/>
  <c r="B5" i="1"/>
  <c r="H6" i="1" l="1"/>
  <c r="H5" i="1"/>
  <c r="H7" i="1"/>
  <c r="B7" i="1"/>
  <c r="H8" i="1"/>
</calcChain>
</file>

<file path=xl/sharedStrings.xml><?xml version="1.0" encoding="utf-8"?>
<sst xmlns="http://schemas.openxmlformats.org/spreadsheetml/2006/main" count="1323" uniqueCount="389">
  <si>
    <t>Road to Worlds — Implemented Card Catalog</t>
  </si>
  <si>
    <t>Live catalog inventory from data/cards.json (schema v2), verified 2026-07-18</t>
  </si>
  <si>
    <t>Catalog KPI</t>
  </si>
  <si>
    <t>Count</t>
  </si>
  <si>
    <t>Card Type</t>
  </si>
  <si>
    <t>Rarity</t>
  </si>
  <si>
    <t>Total cards</t>
  </si>
  <si>
    <t>Ingredient</t>
  </si>
  <si>
    <t>Common</t>
  </si>
  <si>
    <t>Used in a starter deck</t>
  </si>
  <si>
    <t>Meal</t>
  </si>
  <si>
    <t>Uncommon</t>
  </si>
  <si>
    <t>Not currently in a starter deck</t>
  </si>
  <si>
    <t>Tool</t>
  </si>
  <si>
    <t>Rare</t>
  </si>
  <si>
    <t>Spice</t>
  </si>
  <si>
    <t>Mythic</t>
  </si>
  <si>
    <t>Environment</t>
  </si>
  <si>
    <t>Chef</t>
  </si>
  <si>
    <t>Archetype</t>
  </si>
  <si>
    <t>Starter Deck</t>
  </si>
  <si>
    <t>Total Cards</t>
  </si>
  <si>
    <t>Spicy</t>
  </si>
  <si>
    <t>Spicy Starter</t>
  </si>
  <si>
    <t>Hearty</t>
  </si>
  <si>
    <t>Hearty Starter</t>
  </si>
  <si>
    <t>Sweet</t>
  </si>
  <si>
    <t>Sweet Starter</t>
  </si>
  <si>
    <t>Fresh</t>
  </si>
  <si>
    <t>Fresh Starter</t>
  </si>
  <si>
    <t>Funky</t>
  </si>
  <si>
    <t>Funky Starter</t>
  </si>
  <si>
    <t>Neutral</t>
  </si>
  <si>
    <t>Implementation note</t>
  </si>
  <si>
    <t>Cards are included when present in the live catalog loaded by ContentCatalog.gd. Campaign rarity and runtime cost are calculated using the same rules as the game code.</t>
  </si>
  <si>
    <t>Currently Implemented Cards</t>
  </si>
  <si>
    <t>Filter by type, archetype, rarity, or starter-deck usage. Runtime Cost and Campaign Rarity mirror ContentCatalog.gd.</t>
  </si>
  <si>
    <t>#</t>
  </si>
  <si>
    <t>Card ID</t>
  </si>
  <si>
    <t>Name</t>
  </si>
  <si>
    <t>Subtitle</t>
  </si>
  <si>
    <t>Rare Flag</t>
  </si>
  <si>
    <t>Campaign Rarity</t>
  </si>
  <si>
    <t>Attack</t>
  </si>
  <si>
    <t>Health</t>
  </si>
  <si>
    <t>Recipe / Ingredient Types</t>
  </si>
  <si>
    <t>Recipe Cost</t>
  </si>
  <si>
    <t>Discard Cost</t>
  </si>
  <si>
    <t>Runtime Cost</t>
  </si>
  <si>
    <t>Keywords</t>
  </si>
  <si>
    <t>Rules Text</t>
  </si>
  <si>
    <t>Implementation Hooks</t>
  </si>
  <si>
    <t>Starter Decks</t>
  </si>
  <si>
    <t>Starter Copies</t>
  </si>
  <si>
    <t>Source</t>
  </si>
  <si>
    <t>spicy_sriracharrow</t>
  </si>
  <si>
    <t>Sriracharrow</t>
  </si>
  <si>
    <t>Sriracha Sparrow</t>
  </si>
  <si>
    <t>No</t>
  </si>
  <si>
    <t>data/cards.json</t>
  </si>
  <si>
    <t>spicy_firecracker_shrimp</t>
  </si>
  <si>
    <t>Firecracker Shrimp</t>
  </si>
  <si>
    <t>Spicy + Spicy</t>
  </si>
  <si>
    <t>When this attacks, deal 2 damage to one opposing card in Prep.</t>
  </si>
  <si>
    <t>on_attack</t>
  </si>
  <si>
    <t>spicy_vindaloo_beluga</t>
  </si>
  <si>
    <t>Vindaloo Beluga</t>
  </si>
  <si>
    <t>Yes</t>
  </si>
  <si>
    <t>Sacrifice this meal: deal 4 damage to a target opposing Plated unit.</t>
  </si>
  <si>
    <t>abilities</t>
  </si>
  <si>
    <t>spicy_hot_pot_panda</t>
  </si>
  <si>
    <t>Hot Pot Panda</t>
  </si>
  <si>
    <t>Whenever this is dealt damage, deal 1 damage to the opposing chef.</t>
  </si>
  <si>
    <t>on_damaged</t>
  </si>
  <si>
    <t>spicy_buffalo_wings</t>
  </si>
  <si>
    <t>Buffalo Wings</t>
  </si>
  <si>
    <t>Buffalo</t>
  </si>
  <si>
    <t>Spicy + Spicy + Spicy</t>
  </si>
  <si>
    <t>When served, deal 1 damage to all enemies.</t>
  </si>
  <si>
    <t>on_play</t>
  </si>
  <si>
    <t>hearty_dumpling_tortoise</t>
  </si>
  <si>
    <t>Dumpling-Backed Tortoise</t>
  </si>
  <si>
    <t>hearty_stewoose</t>
  </si>
  <si>
    <t>Stewoose</t>
  </si>
  <si>
    <t>Stew Moose</t>
  </si>
  <si>
    <t>Hearty + Hearty</t>
  </si>
  <si>
    <t>When served, heal your chef for 2.</t>
  </si>
  <si>
    <t>hearty_bison_burrito</t>
  </si>
  <si>
    <t>Bison Burrito</t>
  </si>
  <si>
    <t>Burrito Bison</t>
  </si>
  <si>
    <t>While this is in Prep, your Plated units get +1/+1.</t>
  </si>
  <si>
    <t>auras</t>
  </si>
  <si>
    <t>hearty_mastiff_potato</t>
  </si>
  <si>
    <t>Mastiff Potato</t>
  </si>
  <si>
    <t>Mastiff Mashed Potato</t>
  </si>
  <si>
    <t>Hearty + Any</t>
  </si>
  <si>
    <t>The first time this moves from Prep to Plated, it gets +2/+2.</t>
  </si>
  <si>
    <t>on_move_to_plated</t>
  </si>
  <si>
    <t>hearty_polar_pot_pie_bear</t>
  </si>
  <si>
    <t>Polar Pot Pie Bear</t>
  </si>
  <si>
    <t>Pot Pie Polar Bear</t>
  </si>
  <si>
    <t>Hearty + Hearty + Hearty</t>
  </si>
  <si>
    <t>While Plated, once per turn heal 1 damage from each other friendly unit.</t>
  </si>
  <si>
    <t>sweet_pup_tart</t>
  </si>
  <si>
    <t>Pup Tart</t>
  </si>
  <si>
    <t>sweet_strawberry_sharkcake</t>
  </si>
  <si>
    <t>Strawberry Sharkcake</t>
  </si>
  <si>
    <t>Shortcake Shark</t>
  </si>
  <si>
    <t>Sweet + Sweet</t>
  </si>
  <si>
    <t>When served, draw 2 cards.</t>
  </si>
  <si>
    <t>sweet_donutphin</t>
  </si>
  <si>
    <t>Donutphin</t>
  </si>
  <si>
    <t>Donut Dolphin</t>
  </si>
  <si>
    <t>When this deals combat damage to the opposing chef, they cannot use a Chef next turn.</t>
  </si>
  <si>
    <t>on_combat_damage_to_chef</t>
  </si>
  <si>
    <t>sweet_pandacake</t>
  </si>
  <si>
    <t>Pandacake</t>
  </si>
  <si>
    <t>Pancake Panda</t>
  </si>
  <si>
    <t>While this is in Prep, your other Plated units have +2 Health.</t>
  </si>
  <si>
    <t>sweet_cinnamon_snail</t>
  </si>
  <si>
    <t>Cinnamon Snail</t>
  </si>
  <si>
    <t>Cinnamon Roll Snail</t>
  </si>
  <si>
    <t>While this is Plated, opposing Meals require 1 additional Ingredient and opposing healing is reduced by 2.</t>
  </si>
  <si>
    <t>auras, opponent_healing_reduction</t>
  </si>
  <si>
    <t>sweet_parfait_parrot</t>
  </si>
  <si>
    <t>Parfait Parrot</t>
  </si>
  <si>
    <t>At the end of your turn, if this is Plated, draw 1 card.</t>
  </si>
  <si>
    <t>on_end_turn, end_turn_zone</t>
  </si>
  <si>
    <t>hearty_gravy_gazelle</t>
  </si>
  <si>
    <t>Gravy Gazelle</t>
  </si>
  <si>
    <t>While Plated, once per turn give a friendly Plated unit +1/+1.</t>
  </si>
  <si>
    <t>fresh_harvest_hydra</t>
  </si>
  <si>
    <t>Harvest Hydra</t>
  </si>
  <si>
    <t>To serve this, also sacrifice a Fresh Meal. When served, sacrifice all your other units; this gains their combined Attack and maximum Health, including the units used to serve it.</t>
  </si>
  <si>
    <t>required_meal_archetype, on_play</t>
  </si>
  <si>
    <t>fresh_garden_gorilla</t>
  </si>
  <si>
    <t>Garden Gorilla</t>
  </si>
  <si>
    <t>Fresh + Fresh</t>
  </si>
  <si>
    <t>This gets +2 Attack for each other Fresh unit in your Prep area.</t>
  </si>
  <si>
    <t>self_attack_per_friendly_prep_archetype, count_archetype</t>
  </si>
  <si>
    <t>fresh_saladmander</t>
  </si>
  <si>
    <t>Saladmander</t>
  </si>
  <si>
    <t>Salad Salamander</t>
  </si>
  <si>
    <t>spicy_pepper_pike</t>
  </si>
  <si>
    <t>Pepper Pike</t>
  </si>
  <si>
    <t>While Plated, once per turn deal 1 damage to an opposing Meal.</t>
  </si>
  <si>
    <t>hearty_meatloaf_mole</t>
  </si>
  <si>
    <t>Meatloaf Mole</t>
  </si>
  <si>
    <t>When this KOs an opposing unit, heal 2 damage from this.</t>
  </si>
  <si>
    <t>on_ko_enemy</t>
  </si>
  <si>
    <t>hearty_broth_buffalo</t>
  </si>
  <si>
    <t>Broth Buffalo</t>
  </si>
  <si>
    <t>While Plated, once per turn heal 2 damage from a friendly unit.</t>
  </si>
  <si>
    <t>funky_remix_raccoon</t>
  </si>
  <si>
    <t>Remix Raccoon</t>
  </si>
  <si>
    <t>Funky + Funky + Funky</t>
  </si>
  <si>
    <t>Once per turn, copy the activated ability of another unit in your Prep area and pay its costs.</t>
  </si>
  <si>
    <t>funky_leftover_lynx</t>
  </si>
  <si>
    <t>Leftover Lynx</t>
  </si>
  <si>
    <t>Funky + Funky</t>
  </si>
  <si>
    <t>When served, return a unit from your discard pile to your hand.</t>
  </si>
  <si>
    <t>sweet_bottomless_trifle_tern</t>
  </si>
  <si>
    <t>Bottomless Trifle Tern</t>
  </si>
  <si>
    <t>To serve this, also sacrifice a Sweet Meal. The first time this attacks each turn, draw until you have 6 cards.</t>
  </si>
  <si>
    <t>required_meal_archetype, on_attack</t>
  </si>
  <si>
    <t>sweet_pudding_puma</t>
  </si>
  <si>
    <t>Pudding Puma</t>
  </si>
  <si>
    <t>This can attack while in Prep.</t>
  </si>
  <si>
    <t>can_attack_from_prep</t>
  </si>
  <si>
    <t>funky_trap_jam_tapir</t>
  </si>
  <si>
    <t>Trap Jam Tapir</t>
  </si>
  <si>
    <t>While Plated, once per turn negate an opposing Hand Trap.</t>
  </si>
  <si>
    <t>hand_trap_guard, hand_trap_guard_zone</t>
  </si>
  <si>
    <t>spicy_hot_honey_bee</t>
  </si>
  <si>
    <t>Hot Honey Bee</t>
  </si>
  <si>
    <t>When played, deal 1 damage to the opposing chef.</t>
  </si>
  <si>
    <t>spicy_jalapeno_panther</t>
  </si>
  <si>
    <t>Jalapeño Panther</t>
  </si>
  <si>
    <t>spicy_red_pepper_panda</t>
  </si>
  <si>
    <t>Red Pepper Panda</t>
  </si>
  <si>
    <t>Stalwart</t>
  </si>
  <si>
    <t>Stalwart — this card can attack the opposing chef even while they control Plated cards.</t>
  </si>
  <si>
    <t>spicy_wasabi_wasp</t>
  </si>
  <si>
    <t>Wastabi</t>
  </si>
  <si>
    <t>Wasabi Wasp</t>
  </si>
  <si>
    <t>When played, deal 1 damage to all opposing Plated units.</t>
  </si>
  <si>
    <t>spicy_jalapeno_jackal</t>
  </si>
  <si>
    <t>Jakapeno</t>
  </si>
  <si>
    <t>Jalapeño Jackal</t>
  </si>
  <si>
    <t>Sacrifice this: search your deck for a Spicy card.</t>
  </si>
  <si>
    <t>spicy_peppercorn_porcupine</t>
  </si>
  <si>
    <t>Peppercupine</t>
  </si>
  <si>
    <t>Peppercorn Porcupine</t>
  </si>
  <si>
    <t>When played, search your deck for a Spicy meal.</t>
  </si>
  <si>
    <t>spicy_habanero_hare</t>
  </si>
  <si>
    <t>Harebanero</t>
  </si>
  <si>
    <t>Habanero Hare</t>
  </si>
  <si>
    <t>When sacrificed, deal 2 damage to a random opposing card in Prep.</t>
  </si>
  <si>
    <t>on_sacrifice</t>
  </si>
  <si>
    <t>spicy_ghost_pepper_python</t>
  </si>
  <si>
    <t>Ghost Pepython</t>
  </si>
  <si>
    <t>Ghost Pepper Python</t>
  </si>
  <si>
    <t>When played, discard your hand. If you discarded at least one card this way, draw 3.</t>
  </si>
  <si>
    <t>spicy_chili_cicada</t>
  </si>
  <si>
    <t>Chili Cicada</t>
  </si>
  <si>
    <t>When this is KO'd, deal 3 damage to an opposing unit.</t>
  </si>
  <si>
    <t>on_ko</t>
  </si>
  <si>
    <t>funky_beat_beetle</t>
  </si>
  <si>
    <t>Beat Beetle</t>
  </si>
  <si>
    <t>When played, discard the top card of your deck. If it is a unit, this gets +3/+3.</t>
  </si>
  <si>
    <t>fresh_salad_shield_skunk</t>
  </si>
  <si>
    <t>Salad Shield Skunk</t>
  </si>
  <si>
    <t>While this is in Prep, opposing effects cannot damage your other Prep units.</t>
  </si>
  <si>
    <t>protect_other_friendly_prep_from_effect_damage</t>
  </si>
  <si>
    <t>funky_chef_check_chinchilla</t>
  </si>
  <si>
    <t>Chef-Check Chinchilla</t>
  </si>
  <si>
    <t>Hand_trap</t>
  </si>
  <si>
    <t>Hand Trap — when your opponent uses a Chef, discard this to negate it.</t>
  </si>
  <si>
    <t>hand_trap</t>
  </si>
  <si>
    <t>spicy_pantry_pouncer</t>
  </si>
  <si>
    <t>Pantry Pouncer</t>
  </si>
  <si>
    <t>Hand Trap — when your opponent plays an Ingredient, discard this to destroy it after its on-play effect resolves.</t>
  </si>
  <si>
    <t>funky_toolbox_toad</t>
  </si>
  <si>
    <t>Toolbox Toad</t>
  </si>
  <si>
    <t>Hand Trap — when your opponent uses a Tool, discard this to negate it.</t>
  </si>
  <si>
    <t>sweet_ability_axolotl</t>
  </si>
  <si>
    <t>Ability Axolotl</t>
  </si>
  <si>
    <t>Hand Trap — when your opponent activates a unit ability, discard this to negate that ability. Its costs remain paid.</t>
  </si>
  <si>
    <t>fresh_comeback_corgi</t>
  </si>
  <si>
    <t>Comeback Cucumber Corgi</t>
  </si>
  <si>
    <t>After your Chef takes damage, if your Plated and Prep areas have room, you may play this Plated and create a 1/1 Fresh Ingredient token in Prep. That token becomes recipe-ready next turn.</t>
  </si>
  <si>
    <t>hand_trigger</t>
  </si>
  <si>
    <t>fresh_crisp_capybara</t>
  </si>
  <si>
    <t>Crisp Capybara</t>
  </si>
  <si>
    <t>fresh_sprout_squirrel</t>
  </si>
  <si>
    <t>Sprout Squirrel</t>
  </si>
  <si>
    <t>When played, create a 1/1 Fresh Ingredient token in Prep if there is room.</t>
  </si>
  <si>
    <t>funky_fondue_ferret</t>
  </si>
  <si>
    <t>Fondue Ferret</t>
  </si>
  <si>
    <t>funky_turniptable_turtle</t>
  </si>
  <si>
    <t>Turniptable Turtle</t>
  </si>
  <si>
    <t>Turnip Turntable Turtle</t>
  </si>
  <si>
    <t>While in Prep, once per turn discard the top card of your deck. If it is a unit, this gets +1/+1.</t>
  </si>
  <si>
    <t>hearty_bagver</t>
  </si>
  <si>
    <t>Bagver</t>
  </si>
  <si>
    <t>When sacrificed, heal your chef for 1.</t>
  </si>
  <si>
    <t>hearty_french_bread_dog</t>
  </si>
  <si>
    <t>French Bread Dog</t>
  </si>
  <si>
    <t>Taunt</t>
  </si>
  <si>
    <t>Taunt — this Plated card must be attacked first.</t>
  </si>
  <si>
    <t>hearty_macaroni_manatee</t>
  </si>
  <si>
    <t>Macaronatee</t>
  </si>
  <si>
    <t>Macaroni Manatee</t>
  </si>
  <si>
    <t>hearty_ramen_ram</t>
  </si>
  <si>
    <t>Ramen</t>
  </si>
  <si>
    <t>Ramen Ram</t>
  </si>
  <si>
    <t>When played, give one of your units +1 attack.</t>
  </si>
  <si>
    <t>hearty_baked_potato_pangolin</t>
  </si>
  <si>
    <t>Baked Potangolin</t>
  </si>
  <si>
    <t>Baked Potato Pangolin</t>
  </si>
  <si>
    <t>When played, give a Plated unit +2 attack this turn.</t>
  </si>
  <si>
    <t>hearty_lemming_lentils</t>
  </si>
  <si>
    <t>Lentils</t>
  </si>
  <si>
    <t>Lemming Lentils</t>
  </si>
  <si>
    <t>When played, search your deck for a Hearty meal.</t>
  </si>
  <si>
    <t>hearty_bird_beakon</t>
  </si>
  <si>
    <t>Bacon</t>
  </si>
  <si>
    <t>Bird Beakon</t>
  </si>
  <si>
    <t>When played, heal 2 damage from a unit.</t>
  </si>
  <si>
    <t>hearty_kale_whale</t>
  </si>
  <si>
    <t>Kwhale</t>
  </si>
  <si>
    <t>Kale Whale</t>
  </si>
  <si>
    <t>When played, heal 1 damage from all your units.</t>
  </si>
  <si>
    <t>sweet_sugar_glider</t>
  </si>
  <si>
    <t>Sugar Glider</t>
  </si>
  <si>
    <t>When sacrificed, draw 1 card.</t>
  </si>
  <si>
    <t>sweet_marshmallow_swallow</t>
  </si>
  <si>
    <t>Marshmallow Swallows</t>
  </si>
  <si>
    <t>sweet_caramel_camel</t>
  </si>
  <si>
    <t>Caramel Camel</t>
  </si>
  <si>
    <t>When played, draw 1 card.</t>
  </si>
  <si>
    <t>sweet_toffee_collie</t>
  </si>
  <si>
    <t>Toffee Collie</t>
  </si>
  <si>
    <t>When this deals combat damage to the opposing chef, they cannot use Tools next turn.</t>
  </si>
  <si>
    <t>sweet_nutmeg_newt</t>
  </si>
  <si>
    <t>Nutmeg</t>
  </si>
  <si>
    <t>Newtmeg</t>
  </si>
  <si>
    <t>Bodyguard</t>
  </si>
  <si>
    <t>Bodyguard — attacks into this card deal no piercing damage.</t>
  </si>
  <si>
    <t>sweet_vanilla_gorilla</t>
  </si>
  <si>
    <t>Vanilla Extract Gorilla</t>
  </si>
  <si>
    <t>When played, draw 1. If you control three other Sweet units, draw 2 instead.</t>
  </si>
  <si>
    <t>sweet_soft_serve_crab</t>
  </si>
  <si>
    <t>Soft Serve Crab</t>
  </si>
  <si>
    <t>When played, search your deck for a Sweet card.</t>
  </si>
  <si>
    <t>sweet_jellyfish</t>
  </si>
  <si>
    <t>Jellyfish</t>
  </si>
  <si>
    <t>When played, return an opposing ingredient to its owner's hand.</t>
  </si>
  <si>
    <t>item_spicy_shopping_list</t>
  </si>
  <si>
    <t>Spicy Shopping List</t>
  </si>
  <si>
    <t>Discard 1 card; search your deck for a Spicy ingredient.</t>
  </si>
  <si>
    <t>effects</t>
  </si>
  <si>
    <t>item_sweet_shopping_list</t>
  </si>
  <si>
    <t>Sweet Shopping List</t>
  </si>
  <si>
    <t>Discard 1 card; search your deck for a Sweet ingredient.</t>
  </si>
  <si>
    <t>item_hearty_shopping_list</t>
  </si>
  <si>
    <t>Hearty Shopping List</t>
  </si>
  <si>
    <t>Discard 1 card; search your deck for a Hearty ingredient.</t>
  </si>
  <si>
    <t>item_fresh_shopping_list</t>
  </si>
  <si>
    <t>Fresh Shopping List</t>
  </si>
  <si>
    <t>Discard 1 card; search your deck for a Fresh Ingredient.</t>
  </si>
  <si>
    <t>item_funky_shopping_list</t>
  </si>
  <si>
    <t>Funky Shopping List</t>
  </si>
  <si>
    <t>Discard 1 card; search your deck for a Funky Ingredient.</t>
  </si>
  <si>
    <t>item_recipe_prep</t>
  </si>
  <si>
    <t>Recipe Prep</t>
  </si>
  <si>
    <t>Discard 2 cards; search your deck for a unit.</t>
  </si>
  <si>
    <t>Spicy Starter, Hearty Starter, Sweet Starter, Fresh Starter, Funky Starter</t>
  </si>
  <si>
    <t>item_blow_torch</t>
  </si>
  <si>
    <t>Blow Torch</t>
  </si>
  <si>
    <t>Move a Spicy card to Prep; destroy a card your opponent controls.</t>
  </si>
  <si>
    <t>item_tool_drawer</t>
  </si>
  <si>
    <t>Tool Drawer</t>
  </si>
  <si>
    <t>Look at the top 4 cards of your deck. Put a Tool from among them into your hand.</t>
  </si>
  <si>
    <t>item_tongs</t>
  </si>
  <si>
    <t>Tongs</t>
  </si>
  <si>
    <t>Your opponent reveals their hand. Put a unit from it onto their field.</t>
  </si>
  <si>
    <t>item_strainer</t>
  </si>
  <si>
    <t>Strainer</t>
  </si>
  <si>
    <t>Shuffle 2 cards from your discard into your deck.</t>
  </si>
  <si>
    <t>Fresh Starter, Funky Starter</t>
  </si>
  <si>
    <t>item_hand_mixer</t>
  </si>
  <si>
    <t>Hand Mixer</t>
  </si>
  <si>
    <t>Swap the attack and health of a unit.</t>
  </si>
  <si>
    <t>item_grater</t>
  </si>
  <si>
    <t>Grater</t>
  </si>
  <si>
    <t>Remove a Spice from an opposing unit.</t>
  </si>
  <si>
    <t>item_measuring_cup</t>
  </si>
  <si>
    <t>Measuring Cup</t>
  </si>
  <si>
    <t>Discard 2 cards; return 2 units from your discard to your hand.</t>
  </si>
  <si>
    <t>item_wooden_spoon</t>
  </si>
  <si>
    <t>Wooden Spoon</t>
  </si>
  <si>
    <t>Draw 1 card.</t>
  </si>
  <si>
    <t>spice_cayenne_crunch</t>
  </si>
  <si>
    <t>Cayenne Crunch</t>
  </si>
  <si>
    <t>Attached card gets +1 Attack.</t>
  </si>
  <si>
    <t>attack_bonus</t>
  </si>
  <si>
    <t>spice_savory_gravy</t>
  </si>
  <si>
    <t>Savory Gravy</t>
  </si>
  <si>
    <t>Attached card gets +2 Health.</t>
  </si>
  <si>
    <t>health_bonus</t>
  </si>
  <si>
    <t>spice_sugar_glaze</t>
  </si>
  <si>
    <t>Sugar Glaze</t>
  </si>
  <si>
    <t>Attached card gets +1/+1.</t>
  </si>
  <si>
    <t>attack_bonus, health_bonus</t>
  </si>
  <si>
    <t>environment_blazing_wok</t>
  </si>
  <si>
    <t>Blazing Wok</t>
  </si>
  <si>
    <t>Meals you serve enter with +1 Attack.</t>
  </si>
  <si>
    <t>meal_attack_bonus</t>
  </si>
  <si>
    <t>environment_slow_cooker</t>
  </si>
  <si>
    <t>Slow Cooker</t>
  </si>
  <si>
    <t>At the start of your turn, each of your Ingredients gets +1/+1.</t>
  </si>
  <si>
    <t>ingredient_growth</t>
  </si>
  <si>
    <t>environment_dessert_display</t>
  </si>
  <si>
    <t>Dessert Display</t>
  </si>
  <si>
    <t>Meals you serve enter with +1 Health.</t>
  </si>
  <si>
    <t>meal_health_bonus</t>
  </si>
  <si>
    <t>chef_john</t>
  </si>
  <si>
    <t>Chef John</t>
  </si>
  <si>
    <t>Discard your hand, then draw 6 cards.</t>
  </si>
  <si>
    <t>chef_bill</t>
  </si>
  <si>
    <t>Chef Bill</t>
  </si>
  <si>
    <t>Search your deck for 1 Ingredient and 1 Meal.</t>
  </si>
  <si>
    <t>chef_carl</t>
  </si>
  <si>
    <t>Chef Carl</t>
  </si>
  <si>
    <t>Return 1 Meal from your discard to your hand.</t>
  </si>
  <si>
    <t>chef_mary</t>
  </si>
  <si>
    <t>Chef Mary</t>
  </si>
  <si>
    <t>Draw 3 cards.</t>
  </si>
  <si>
    <t>Starter Deck Coverage</t>
  </si>
  <si>
    <t>One row per card entry in each implemented 30-card starter deck.</t>
  </si>
  <si>
    <t>Deck ID</t>
  </si>
  <si>
    <t>Deck Name</t>
  </si>
  <si>
    <t>Card Name</t>
  </si>
  <si>
    <t>spicy_test_kitchen</t>
  </si>
  <si>
    <t>hearty_test_kitchen</t>
  </si>
  <si>
    <t>sweet_test_kitchen</t>
  </si>
  <si>
    <t>fresh_test_kitchen</t>
  </si>
  <si>
    <t>funky_test_kitchen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</si>
</sst>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i/>
      <sz val="10"/>
      <color rgb="FF38546A"/>
      <name val="Aptos"/>
    </font>
    <font>
      <sz val="10"/>
      <color rgb="FF44515C"/>
      <name val="Aptos"/>
    </font>
    <font>
      <b/>
      <sz val="10"/>
      <color rgb="FFFFFFFF"/>
      <name val="Aptos"/>
    </font>
    <font>
      <sz val="10"/>
      <color rgb="FF243746"/>
      <name val="Aptos"/>
    </font>
    <font>
      <b/>
      <sz val="20"/>
      <color rgb="FFFFFFFF"/>
      <name val="Aptos"/>
    </font>
    <font>
      <sz val="11"/>
      <name val="Aptos"/>
    </font>
    <font>
      <b/>
      <sz val="18"/>
      <color rgb="FFFFFFFF"/>
      <name val="Aptos Display"/>
    </font>
    <font>
      <b/>
      <sz val="9"/>
      <color rgb="FFFFFFFF"/>
      <name val="Aptos"/>
    </font>
    <font>
      <sz val="9"/>
      <color rgb="FF243746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24557A"/>
      </patternFill>
    </fill>
  </fills>
  <borders count="13">
    <border>
      <left/>
      <right/>
      <top/>
      <bottom/>
      <diagonal/>
    </border>
    <border>
      <left style="thin">
        <color rgb="FFCAD6E2"/>
      </left>
      <right/>
      <top style="thin">
        <color rgb="FFCAD6E2"/>
      </top>
      <bottom/>
      <diagonal/>
    </border>
    <border>
      <left/>
      <right/>
      <top style="thin">
        <color rgb="FFCAD6E2"/>
      </top>
      <bottom/>
      <diagonal/>
    </border>
    <border>
      <left/>
      <right style="thin">
        <color rgb="FFCAD6E2"/>
      </right>
      <top style="thin">
        <color rgb="FFCAD6E2"/>
      </top>
      <bottom/>
      <diagonal/>
    </border>
    <border>
      <left style="thin">
        <color rgb="FFCAD6E2"/>
      </left>
      <right/>
      <top/>
      <bottom/>
      <diagonal/>
    </border>
    <border>
      <left/>
      <right style="thin">
        <color rgb="FFCAD6E2"/>
      </right>
      <top/>
      <bottom/>
      <diagonal/>
    </border>
    <border>
      <left style="thin">
        <color rgb="FFCAD6E2"/>
      </left>
      <right/>
      <top/>
      <bottom style="thin">
        <color rgb="FFCAD6E2"/>
      </bottom>
      <diagonal/>
    </border>
    <border>
      <left/>
      <right/>
      <top/>
      <bottom style="thin">
        <color rgb="FFCAD6E2"/>
      </bottom>
      <diagonal/>
    </border>
    <border>
      <left/>
      <right style="thin">
        <color rgb="FFCAD6E2"/>
      </right>
      <top/>
      <bottom style="thin">
        <color rgb="FFCAD6E2"/>
      </bottom>
      <diagonal/>
    </border>
    <border>
      <left style="thin">
        <color rgb="FF24557A"/>
      </left>
      <right/>
      <top style="thin">
        <color rgb="FF24557A"/>
      </top>
      <bottom style="thin">
        <color rgb="FF24557A"/>
      </bottom>
      <diagonal/>
    </border>
    <border>
      <left/>
      <right style="thin">
        <color rgb="FF24557A"/>
      </right>
      <top style="thin">
        <color rgb="FF24557A"/>
      </top>
      <bottom style="thin">
        <color rgb="FF24557A"/>
      </bottom>
      <diagonal/>
    </border>
    <border>
      <left/>
      <right/>
      <top style="thin">
        <color rgb="FF24557A"/>
      </top>
      <bottom style="thin">
        <color rgb="FF24557A"/>
      </bottom>
      <diagonal/>
    </border>
    <border>
      <left/>
      <right/>
      <top style="thin">
        <color rgb="FFCAD6E2"/>
      </top>
      <bottom style="thin">
        <color rgb="FFCAD6E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4" fillId="0" borderId="7" xfId="0" applyFont="1" applyBorder="1"/>
    <xf numFmtId="0" fontId="4" fillId="0" borderId="12" xfId="0" applyFont="1" applyBorder="1"/>
    <xf numFmtId="3" fontId="4" fillId="0" borderId="7" xfId="0" applyNumberFormat="1" applyFont="1" applyBorder="1"/>
    <xf numFmtId="3" fontId="4" fillId="0" borderId="12" xfId="0" applyNumberFormat="1" applyFont="1" applyBorder="1"/>
    <xf numFmtId="3" fontId="3" fillId="5" borderId="10" xfId="0" applyNumberFormat="1" applyFont="1" applyFill="1" applyBorder="1" applyAlignment="1">
      <alignment vertical="center"/>
    </xf>
    <xf numFmtId="0" fontId="6" fillId="0" borderId="0" xfId="0" applyFont="1"/>
    <xf numFmtId="3" fontId="6" fillId="0" borderId="0" xfId="0" applyNumberFormat="1" applyFont="1"/>
    <xf numFmtId="0" fontId="8" fillId="5" borderId="0" xfId="0" applyFont="1" applyFill="1"/>
    <xf numFmtId="0" fontId="8" fillId="5" borderId="0" xfId="0" applyFont="1" applyFill="1" applyAlignment="1">
      <alignment vertical="center" wrapText="1"/>
    </xf>
    <xf numFmtId="0" fontId="9" fillId="0" borderId="0" xfId="0" applyFont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top" wrapText="1"/>
    </xf>
    <xf numFmtId="0" fontId="5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5" borderId="9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2" fillId="4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7" fillId="2" borderId="0" xfId="0" applyFont="1" applyFill="1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7">
    <dxf>
      <font>
        <b/>
        <color rgb="FF55408C"/>
      </font>
      <fill>
        <patternFill patternType="solid">
          <bgColor rgb="FFEEE9FA"/>
        </patternFill>
      </fill>
    </dxf>
    <dxf>
      <font>
        <b/>
        <color rgb="FF76551B"/>
      </font>
      <fill>
        <patternFill patternType="solid">
          <bgColor rgb="FFFFF4D6"/>
        </patternFill>
      </fill>
    </dxf>
    <dxf>
      <font>
        <color rgb="FF55408C"/>
      </font>
      <fill>
        <patternFill patternType="solid">
          <bgColor rgb="FFEEE9FA"/>
        </patternFill>
      </fill>
    </dxf>
    <dxf>
      <font>
        <color rgb="FF2F7040"/>
      </font>
      <fill>
        <patternFill patternType="solid">
          <bgColor rgb="FFE7F4EA"/>
        </patternFill>
      </fill>
    </dxf>
    <dxf>
      <font>
        <color rgb="FF9C376F"/>
      </font>
      <fill>
        <patternFill patternType="solid">
          <bgColor rgb="FFFCE8F1"/>
        </patternFill>
      </fill>
    </dxf>
    <dxf>
      <font>
        <color rgb="FF76551B"/>
      </font>
      <fill>
        <patternFill patternType="solid">
          <bgColor rgb="FFFFF4D6"/>
        </patternFill>
      </fill>
    </dxf>
    <dxf>
      <font>
        <color rgb="FFA33B1F"/>
      </font>
      <fill>
        <patternFill patternType="solid">
          <bgColor rgb="FFFCE8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ementedCardsTable" displayName="ImplementedCardsTable" ref="A4:T92" totalsRowShown="0">
  <autoFilter ref="A4:T92" xr:uid="{00000000-0009-0000-0100-000001000000}"/>
  <tableColumns count="20">
    <tableColumn id="1" xr3:uid="{00000000-0010-0000-0000-000001000000}" name="#"/>
    <tableColumn id="2" xr3:uid="{00000000-0010-0000-0000-000002000000}" name="Card ID"/>
    <tableColumn id="3" xr3:uid="{00000000-0010-0000-0000-000003000000}" name="Name"/>
    <tableColumn id="4" xr3:uid="{00000000-0010-0000-0000-000004000000}" name="Subtitle"/>
    <tableColumn id="5" xr3:uid="{00000000-0010-0000-0000-000005000000}" name="Card Type"/>
    <tableColumn id="6" xr3:uid="{00000000-0010-0000-0000-000006000000}" name="Archetype"/>
    <tableColumn id="7" xr3:uid="{00000000-0010-0000-0000-000007000000}" name="Rare Flag"/>
    <tableColumn id="8" xr3:uid="{00000000-0010-0000-0000-000008000000}" name="Campaign Rarity"/>
    <tableColumn id="9" xr3:uid="{00000000-0010-0000-0000-000009000000}" name="Attack"/>
    <tableColumn id="10" xr3:uid="{00000000-0010-0000-0000-00000A000000}" name="Health"/>
    <tableColumn id="11" xr3:uid="{00000000-0010-0000-0000-00000B000000}" name="Recipe / Ingredient Types"/>
    <tableColumn id="12" xr3:uid="{00000000-0010-0000-0000-00000C000000}" name="Recipe Cost"/>
    <tableColumn id="13" xr3:uid="{00000000-0010-0000-0000-00000D000000}" name="Discard Cost"/>
    <tableColumn id="14" xr3:uid="{00000000-0010-0000-0000-00000E000000}" name="Runtime Cost"/>
    <tableColumn id="15" xr3:uid="{00000000-0010-0000-0000-00000F000000}" name="Keywords"/>
    <tableColumn id="16" xr3:uid="{00000000-0010-0000-0000-000010000000}" name="Rules Text"/>
    <tableColumn id="17" xr3:uid="{00000000-0010-0000-0000-000011000000}" name="Implementation Hooks"/>
    <tableColumn id="18" xr3:uid="{00000000-0010-0000-0000-000012000000}" name="Starter Decks"/>
    <tableColumn id="19" xr3:uid="{00000000-0010-0000-0000-000013000000}" name="Starter Copies"/>
    <tableColumn id="20" xr3:uid="{00000000-0010-0000-0000-000014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rterDeckEntriesTable" displayName="StarterDeckEntriesTable" ref="A4:G75" totalsRowShown="0">
  <autoFilter ref="A4:G75" xr:uid="{00000000-0009-0000-0100-000002000000}"/>
  <tableColumns count="7">
    <tableColumn id="1" xr3:uid="{00000000-0010-0000-0100-000001000000}" name="Deck ID"/>
    <tableColumn id="2" xr3:uid="{00000000-0010-0000-0100-000002000000}" name="Deck Name"/>
    <tableColumn id="3" xr3:uid="{00000000-0010-0000-0100-000003000000}" name="Archetype"/>
    <tableColumn id="4" xr3:uid="{00000000-0010-0000-0100-000004000000}" name="Card ID"/>
    <tableColumn id="5" xr3:uid="{00000000-0010-0000-0100-000005000000}" name="Card Name"/>
    <tableColumn id="6" xr3:uid="{00000000-0010-0000-0100-000006000000}" name="Card Type"/>
    <tableColumn id="7" xr3:uid="{00000000-0010-0000-0100-00000700000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zoomScale="139" workbookViewId="0">
      <selection activeCell="K30" sqref="K30"/>
    </sheetView>
  </sheetViews>
  <sheetFormatPr baseColWidth="10" defaultColWidth="8.83203125" defaultRowHeight="14"/>
  <cols>
    <col min="1" max="1" width="24" customWidth="1"/>
    <col min="2" max="2" width="12" customWidth="1"/>
    <col min="3" max="3" width="3" customWidth="1"/>
    <col min="4" max="4" width="24" customWidth="1"/>
    <col min="5" max="5" width="12" customWidth="1"/>
    <col min="6" max="6" width="3" customWidth="1"/>
    <col min="7" max="7" width="18" customWidth="1"/>
    <col min="8" max="8" width="12" customWidth="1"/>
  </cols>
  <sheetData>
    <row r="1" spans="1:8" ht="34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24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15">
      <c r="A3" s="8"/>
      <c r="B3" s="8"/>
      <c r="C3" s="8"/>
      <c r="D3" s="8"/>
      <c r="E3" s="8"/>
      <c r="F3" s="8"/>
      <c r="G3" s="8"/>
      <c r="H3" s="8"/>
    </row>
    <row r="4" spans="1:8" ht="15">
      <c r="A4" s="1" t="s">
        <v>2</v>
      </c>
      <c r="B4" s="2" t="s">
        <v>3</v>
      </c>
      <c r="C4" s="8"/>
      <c r="D4" s="1" t="s">
        <v>4</v>
      </c>
      <c r="E4" s="2" t="s">
        <v>3</v>
      </c>
      <c r="F4" s="8"/>
      <c r="G4" s="1" t="s">
        <v>5</v>
      </c>
      <c r="H4" s="2" t="s">
        <v>3</v>
      </c>
    </row>
    <row r="5" spans="1:8" ht="15">
      <c r="A5" s="3" t="s">
        <v>6</v>
      </c>
      <c r="B5" s="5">
        <f>COUNTA(Cards!$B$5:$B$92)</f>
        <v>88</v>
      </c>
      <c r="C5" s="8"/>
      <c r="D5" s="3" t="s">
        <v>7</v>
      </c>
      <c r="E5" s="5">
        <f>COUNTIF(Cards!$E$5:$E$92,D5)</f>
        <v>36</v>
      </c>
      <c r="F5" s="8"/>
      <c r="G5" s="3" t="s">
        <v>8</v>
      </c>
      <c r="H5" s="5">
        <f>COUNTIF(Cards!$H$5:$H$92,G5)</f>
        <v>35</v>
      </c>
    </row>
    <row r="6" spans="1:8" ht="15">
      <c r="A6" s="4" t="s">
        <v>9</v>
      </c>
      <c r="B6" s="6">
        <f>COUNTIF(Cards!$S$5:$S$92,"&gt;0")</f>
        <v>50</v>
      </c>
      <c r="C6" s="8"/>
      <c r="D6" s="4" t="s">
        <v>10</v>
      </c>
      <c r="E6" s="6">
        <f>COUNTIF(Cards!$E$5:$E$92,D6)</f>
        <v>28</v>
      </c>
      <c r="F6" s="8"/>
      <c r="G6" s="4" t="s">
        <v>11</v>
      </c>
      <c r="H6" s="6">
        <f>COUNTIF(Cards!$H$5:$H$92,G6)</f>
        <v>17</v>
      </c>
    </row>
    <row r="7" spans="1:8" ht="15">
      <c r="A7" s="4" t="s">
        <v>12</v>
      </c>
      <c r="B7" s="6">
        <f>B5-B6</f>
        <v>38</v>
      </c>
      <c r="C7" s="8"/>
      <c r="D7" s="4" t="s">
        <v>13</v>
      </c>
      <c r="E7" s="6">
        <f>COUNTIF(Cards!$E$5:$E$92,D7)</f>
        <v>14</v>
      </c>
      <c r="F7" s="8"/>
      <c r="G7" s="4" t="s">
        <v>14</v>
      </c>
      <c r="H7" s="6">
        <f>COUNTIF(Cards!$H$5:$H$92,G7)</f>
        <v>32</v>
      </c>
    </row>
    <row r="8" spans="1:8" ht="15">
      <c r="A8" s="8"/>
      <c r="B8" s="9"/>
      <c r="C8" s="8"/>
      <c r="D8" s="4" t="s">
        <v>15</v>
      </c>
      <c r="E8" s="6">
        <f>COUNTIF(Cards!$E$5:$E$92,D8)</f>
        <v>3</v>
      </c>
      <c r="F8" s="8"/>
      <c r="G8" s="4" t="s">
        <v>16</v>
      </c>
      <c r="H8" s="6">
        <f>COUNTIF(Cards!$H$5:$H$92,G8)</f>
        <v>4</v>
      </c>
    </row>
    <row r="9" spans="1:8" ht="15">
      <c r="A9" s="8"/>
      <c r="B9" s="9"/>
      <c r="C9" s="8"/>
      <c r="D9" s="4" t="s">
        <v>17</v>
      </c>
      <c r="E9" s="6">
        <f>COUNTIF(Cards!$E$5:$E$92,D9)</f>
        <v>3</v>
      </c>
      <c r="F9" s="8"/>
      <c r="G9" s="8"/>
      <c r="H9" s="8"/>
    </row>
    <row r="10" spans="1:8" ht="15">
      <c r="A10" s="8"/>
      <c r="B10" s="9"/>
      <c r="C10" s="8"/>
      <c r="D10" s="4" t="s">
        <v>18</v>
      </c>
      <c r="E10" s="6">
        <f>COUNTIF(Cards!$E$5:$E$92,D10)</f>
        <v>4</v>
      </c>
      <c r="F10" s="8"/>
      <c r="G10" s="8"/>
      <c r="H10" s="8"/>
    </row>
    <row r="11" spans="1:8" ht="15">
      <c r="A11" s="8"/>
      <c r="B11" s="9"/>
      <c r="C11" s="8"/>
      <c r="D11" s="8"/>
      <c r="E11" s="9"/>
      <c r="F11" s="8"/>
      <c r="G11" s="8"/>
      <c r="H11" s="8"/>
    </row>
    <row r="12" spans="1:8" ht="15">
      <c r="A12" s="1" t="s">
        <v>19</v>
      </c>
      <c r="B12" s="7" t="s">
        <v>3</v>
      </c>
      <c r="C12" s="8"/>
      <c r="D12" s="1" t="s">
        <v>20</v>
      </c>
      <c r="E12" s="7" t="s">
        <v>21</v>
      </c>
      <c r="F12" s="8"/>
      <c r="G12" s="8"/>
      <c r="H12" s="8"/>
    </row>
    <row r="13" spans="1:8" ht="15">
      <c r="A13" s="3" t="s">
        <v>22</v>
      </c>
      <c r="B13" s="5">
        <f>COUNTIF(Cards!$F$5:$F$92,A13)</f>
        <v>18</v>
      </c>
      <c r="C13" s="8"/>
      <c r="D13" s="3" t="s">
        <v>23</v>
      </c>
      <c r="E13" s="5">
        <f>SUMIF('Starter Decks'!$B$5:$B$79,D13,'Starter Decks'!$G$5:$G$79)</f>
        <v>30</v>
      </c>
      <c r="F13" s="8"/>
      <c r="G13" s="8"/>
      <c r="H13" s="8"/>
    </row>
    <row r="14" spans="1:8" ht="15">
      <c r="A14" s="4" t="s">
        <v>24</v>
      </c>
      <c r="B14" s="6">
        <f>COUNTIF(Cards!$F$5:$F$92,A14)</f>
        <v>18</v>
      </c>
      <c r="C14" s="8"/>
      <c r="D14" s="4" t="s">
        <v>25</v>
      </c>
      <c r="E14" s="6">
        <f>SUMIF('Starter Decks'!$B$5:$B$79,D14,'Starter Decks'!$G$5:$G$79)</f>
        <v>30</v>
      </c>
      <c r="F14" s="8"/>
      <c r="G14" s="8"/>
      <c r="H14" s="8"/>
    </row>
    <row r="15" spans="1:8" ht="15">
      <c r="A15" s="4" t="s">
        <v>26</v>
      </c>
      <c r="B15" s="6">
        <f>COUNTIF(Cards!$F$5:$F$92,A15)</f>
        <v>19</v>
      </c>
      <c r="C15" s="8"/>
      <c r="D15" s="4" t="s">
        <v>27</v>
      </c>
      <c r="E15" s="6">
        <f>SUMIF('Starter Decks'!$B$5:$B$79,D15,'Starter Decks'!$G$5:$G$79)</f>
        <v>30</v>
      </c>
      <c r="F15" s="8"/>
      <c r="G15" s="8"/>
      <c r="H15" s="8"/>
    </row>
    <row r="16" spans="1:8" ht="15">
      <c r="A16" s="4" t="s">
        <v>28</v>
      </c>
      <c r="B16" s="6">
        <f>COUNTIF(Cards!$F$5:$F$92,A16)</f>
        <v>7</v>
      </c>
      <c r="C16" s="8"/>
      <c r="D16" s="4" t="s">
        <v>29</v>
      </c>
      <c r="E16" s="6">
        <f>SUMIF('Starter Decks'!$B$5:$B$79,D16,'Starter Decks'!$G$5:$G$79)</f>
        <v>30</v>
      </c>
      <c r="F16" s="8"/>
      <c r="G16" s="8"/>
      <c r="H16" s="8"/>
    </row>
    <row r="17" spans="1:8" ht="15">
      <c r="A17" s="4" t="s">
        <v>30</v>
      </c>
      <c r="B17" s="6">
        <f>COUNTIF(Cards!$F$5:$F$92,A17)</f>
        <v>8</v>
      </c>
      <c r="C17" s="8"/>
      <c r="D17" s="4" t="s">
        <v>31</v>
      </c>
      <c r="E17" s="6">
        <f>SUMIF('Starter Decks'!$B$5:$B$79,D17,'Starter Decks'!$G$5:$G$79)</f>
        <v>30</v>
      </c>
      <c r="F17" s="8"/>
      <c r="G17" s="8"/>
      <c r="H17" s="8"/>
    </row>
    <row r="18" spans="1:8" ht="15">
      <c r="A18" s="4" t="s">
        <v>32</v>
      </c>
      <c r="B18" s="6">
        <f>COUNTIF(Cards!$F$5:$F$92,A18)</f>
        <v>18</v>
      </c>
      <c r="C18" s="8"/>
      <c r="D18" s="8"/>
      <c r="E18" s="8"/>
      <c r="F18" s="8"/>
      <c r="G18" s="8"/>
      <c r="H18" s="8"/>
    </row>
    <row r="19" spans="1:8" ht="15">
      <c r="A19" s="8"/>
      <c r="B19" s="8"/>
      <c r="C19" s="8"/>
      <c r="D19" s="8"/>
      <c r="E19" s="8"/>
      <c r="F19" s="8"/>
      <c r="G19" s="8"/>
      <c r="H19" s="8"/>
    </row>
    <row r="20" spans="1:8" ht="15">
      <c r="A20" s="8"/>
      <c r="B20" s="8"/>
      <c r="C20" s="8"/>
      <c r="D20" s="18" t="s">
        <v>33</v>
      </c>
      <c r="E20" s="19"/>
      <c r="F20" s="19"/>
      <c r="G20" s="19"/>
      <c r="H20" s="20"/>
    </row>
    <row r="21" spans="1:8" ht="15">
      <c r="A21" s="8"/>
      <c r="B21" s="8"/>
      <c r="C21" s="8"/>
      <c r="D21" s="21" t="s">
        <v>34</v>
      </c>
      <c r="E21" s="22"/>
      <c r="F21" s="22"/>
      <c r="G21" s="22"/>
      <c r="H21" s="23"/>
    </row>
    <row r="22" spans="1:8" ht="15">
      <c r="A22" s="8"/>
      <c r="B22" s="8"/>
      <c r="C22" s="8"/>
      <c r="D22" s="24"/>
      <c r="E22" s="25"/>
      <c r="F22" s="25"/>
      <c r="G22" s="25"/>
      <c r="H22" s="26"/>
    </row>
    <row r="23" spans="1:8" ht="15">
      <c r="A23" s="8"/>
      <c r="B23" s="8"/>
      <c r="C23" s="8"/>
      <c r="D23" s="27"/>
      <c r="E23" s="28"/>
      <c r="F23" s="28"/>
      <c r="G23" s="28"/>
      <c r="H23" s="29"/>
    </row>
  </sheetData>
  <mergeCells count="4">
    <mergeCell ref="A1:H1"/>
    <mergeCell ref="A2:H2"/>
    <mergeCell ref="D20:H20"/>
    <mergeCell ref="D21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2"/>
  <sheetViews>
    <sheetView showGridLines="0" tabSelected="1" workbookViewId="0">
      <selection activeCell="F13" sqref="F13"/>
    </sheetView>
  </sheetViews>
  <sheetFormatPr baseColWidth="10" defaultColWidth="8.83203125" defaultRowHeight="14"/>
  <cols>
    <col min="1" max="1" width="5" customWidth="1"/>
    <col min="2" max="2" width="31" customWidth="1"/>
    <col min="3" max="3" width="26" customWidth="1"/>
    <col min="4" max="4" width="24" customWidth="1"/>
    <col min="5" max="6" width="13" customWidth="1"/>
    <col min="7" max="7" width="10" customWidth="1"/>
    <col min="8" max="8" width="17" customWidth="1"/>
    <col min="9" max="10" width="8" customWidth="1"/>
    <col min="11" max="11" width="24" customWidth="1"/>
    <col min="12" max="12" width="11" customWidth="1"/>
    <col min="13" max="14" width="12" customWidth="1"/>
    <col min="15" max="15" width="20" customWidth="1"/>
    <col min="16" max="16" width="58" customWidth="1"/>
    <col min="17" max="17" width="31" customWidth="1"/>
    <col min="18" max="18" width="34" customWidth="1"/>
    <col min="19" max="19" width="12" customWidth="1"/>
    <col min="20" max="20" width="18" customWidth="1"/>
  </cols>
  <sheetData>
    <row r="1" spans="1:20" ht="32" customHeight="1">
      <c r="A1" s="30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5">
      <c r="A2" s="31" t="s">
        <v>36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4" spans="1:20" ht="32" customHeight="1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</v>
      </c>
      <c r="F4" s="11" t="s">
        <v>19</v>
      </c>
      <c r="G4" s="11" t="s">
        <v>41</v>
      </c>
      <c r="H4" s="11" t="s">
        <v>42</v>
      </c>
      <c r="I4" s="11" t="s">
        <v>43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1" t="s">
        <v>49</v>
      </c>
      <c r="P4" s="11" t="s">
        <v>50</v>
      </c>
      <c r="Q4" s="11" t="s">
        <v>51</v>
      </c>
      <c r="R4" s="11" t="s">
        <v>52</v>
      </c>
      <c r="S4" s="11" t="s">
        <v>53</v>
      </c>
      <c r="T4" s="11" t="s">
        <v>54</v>
      </c>
    </row>
    <row r="5" spans="1:20" ht="30" customHeight="1">
      <c r="A5" s="13">
        <v>1</v>
      </c>
      <c r="B5" s="12" t="s">
        <v>55</v>
      </c>
      <c r="C5" s="12" t="s">
        <v>56</v>
      </c>
      <c r="D5" s="12" t="s">
        <v>57</v>
      </c>
      <c r="E5" s="12" t="s">
        <v>10</v>
      </c>
      <c r="F5" s="12" t="s">
        <v>22</v>
      </c>
      <c r="G5" s="14" t="s">
        <v>58</v>
      </c>
      <c r="H5" s="14" t="str">
        <f t="shared" ref="H5:H36" si="0">IF(E5="Chef","Mythic",IF(G5="Yes","Rare",IF(OR(E5="Meal",E5="Spice",E5="Environment"),"Uncommon","Common")))</f>
        <v>Uncommon</v>
      </c>
      <c r="I5" s="13">
        <v>5</v>
      </c>
      <c r="J5" s="13">
        <v>4</v>
      </c>
      <c r="K5" s="12" t="s">
        <v>22</v>
      </c>
      <c r="L5" s="13">
        <v>1</v>
      </c>
      <c r="M5" s="13">
        <v>0</v>
      </c>
      <c r="N5" s="13">
        <f t="shared" ref="N5:N36" si="1">IF(E5="Meal",L5,M5)</f>
        <v>1</v>
      </c>
      <c r="O5" s="12"/>
      <c r="P5" s="15"/>
      <c r="Q5" s="15"/>
      <c r="R5" s="15" t="s">
        <v>23</v>
      </c>
      <c r="S5" s="13">
        <v>2</v>
      </c>
      <c r="T5" s="12" t="s">
        <v>59</v>
      </c>
    </row>
    <row r="6" spans="1:20" ht="30" customHeight="1">
      <c r="A6" s="13">
        <v>2</v>
      </c>
      <c r="B6" s="12" t="s">
        <v>60</v>
      </c>
      <c r="C6" s="12" t="s">
        <v>61</v>
      </c>
      <c r="D6" s="12"/>
      <c r="E6" s="12" t="s">
        <v>10</v>
      </c>
      <c r="F6" s="12" t="s">
        <v>22</v>
      </c>
      <c r="G6" s="14" t="s">
        <v>58</v>
      </c>
      <c r="H6" s="14" t="str">
        <f t="shared" si="0"/>
        <v>Uncommon</v>
      </c>
      <c r="I6" s="13">
        <v>7</v>
      </c>
      <c r="J6" s="13">
        <v>5</v>
      </c>
      <c r="K6" s="12" t="s">
        <v>62</v>
      </c>
      <c r="L6" s="13">
        <v>2</v>
      </c>
      <c r="M6" s="13">
        <v>0</v>
      </c>
      <c r="N6" s="13">
        <f t="shared" si="1"/>
        <v>2</v>
      </c>
      <c r="O6" s="12"/>
      <c r="P6" s="15" t="s">
        <v>63</v>
      </c>
      <c r="Q6" s="15" t="s">
        <v>64</v>
      </c>
      <c r="R6" s="15" t="s">
        <v>23</v>
      </c>
      <c r="S6" s="13">
        <v>2</v>
      </c>
      <c r="T6" s="12" t="s">
        <v>59</v>
      </c>
    </row>
    <row r="7" spans="1:20" ht="30" customHeight="1">
      <c r="A7" s="13">
        <v>3</v>
      </c>
      <c r="B7" s="12" t="s">
        <v>65</v>
      </c>
      <c r="C7" s="12" t="s">
        <v>66</v>
      </c>
      <c r="D7" s="12"/>
      <c r="E7" s="12" t="s">
        <v>10</v>
      </c>
      <c r="F7" s="12" t="s">
        <v>22</v>
      </c>
      <c r="G7" s="14" t="s">
        <v>67</v>
      </c>
      <c r="H7" s="14" t="str">
        <f t="shared" si="0"/>
        <v>Rare</v>
      </c>
      <c r="I7" s="13">
        <v>3</v>
      </c>
      <c r="J7" s="13">
        <v>3</v>
      </c>
      <c r="K7" s="12" t="s">
        <v>22</v>
      </c>
      <c r="L7" s="13">
        <v>1</v>
      </c>
      <c r="M7" s="13">
        <v>0</v>
      </c>
      <c r="N7" s="13">
        <f t="shared" si="1"/>
        <v>1</v>
      </c>
      <c r="O7" s="12"/>
      <c r="P7" s="15" t="s">
        <v>68</v>
      </c>
      <c r="Q7" s="15" t="s">
        <v>69</v>
      </c>
      <c r="R7" s="15"/>
      <c r="S7" s="13">
        <v>0</v>
      </c>
      <c r="T7" s="12" t="s">
        <v>59</v>
      </c>
    </row>
    <row r="8" spans="1:20" ht="30" customHeight="1">
      <c r="A8" s="13">
        <v>4</v>
      </c>
      <c r="B8" s="12" t="s">
        <v>70</v>
      </c>
      <c r="C8" s="12" t="s">
        <v>71</v>
      </c>
      <c r="D8" s="12"/>
      <c r="E8" s="12" t="s">
        <v>10</v>
      </c>
      <c r="F8" s="12" t="s">
        <v>22</v>
      </c>
      <c r="G8" s="14" t="s">
        <v>67</v>
      </c>
      <c r="H8" s="14" t="str">
        <f t="shared" si="0"/>
        <v>Rare</v>
      </c>
      <c r="I8" s="13">
        <v>6</v>
      </c>
      <c r="J8" s="13">
        <v>6</v>
      </c>
      <c r="K8" s="12" t="s">
        <v>62</v>
      </c>
      <c r="L8" s="13">
        <v>2</v>
      </c>
      <c r="M8" s="13">
        <v>0</v>
      </c>
      <c r="N8" s="13">
        <f t="shared" si="1"/>
        <v>2</v>
      </c>
      <c r="O8" s="12"/>
      <c r="P8" s="15" t="s">
        <v>72</v>
      </c>
      <c r="Q8" s="15" t="s">
        <v>73</v>
      </c>
      <c r="R8" s="15"/>
      <c r="S8" s="13">
        <v>0</v>
      </c>
      <c r="T8" s="12" t="s">
        <v>59</v>
      </c>
    </row>
    <row r="9" spans="1:20" ht="30" customHeight="1">
      <c r="A9" s="13">
        <v>5</v>
      </c>
      <c r="B9" s="12" t="s">
        <v>74</v>
      </c>
      <c r="C9" s="12" t="s">
        <v>75</v>
      </c>
      <c r="D9" s="12" t="s">
        <v>76</v>
      </c>
      <c r="E9" s="12" t="s">
        <v>10</v>
      </c>
      <c r="F9" s="12" t="s">
        <v>22</v>
      </c>
      <c r="G9" s="14" t="s">
        <v>67</v>
      </c>
      <c r="H9" s="14" t="str">
        <f t="shared" si="0"/>
        <v>Rare</v>
      </c>
      <c r="I9" s="13">
        <v>9</v>
      </c>
      <c r="J9" s="13">
        <v>6</v>
      </c>
      <c r="K9" s="12" t="s">
        <v>77</v>
      </c>
      <c r="L9" s="13">
        <v>3</v>
      </c>
      <c r="M9" s="13">
        <v>0</v>
      </c>
      <c r="N9" s="13">
        <f t="shared" si="1"/>
        <v>3</v>
      </c>
      <c r="O9" s="12"/>
      <c r="P9" s="15" t="s">
        <v>78</v>
      </c>
      <c r="Q9" s="15" t="s">
        <v>79</v>
      </c>
      <c r="R9" s="15" t="s">
        <v>23</v>
      </c>
      <c r="S9" s="13">
        <v>1</v>
      </c>
      <c r="T9" s="12" t="s">
        <v>59</v>
      </c>
    </row>
    <row r="10" spans="1:20" ht="30" customHeight="1">
      <c r="A10" s="13">
        <v>6</v>
      </c>
      <c r="B10" s="12" t="s">
        <v>80</v>
      </c>
      <c r="C10" s="12" t="s">
        <v>81</v>
      </c>
      <c r="D10" s="12"/>
      <c r="E10" s="12" t="s">
        <v>10</v>
      </c>
      <c r="F10" s="12" t="s">
        <v>24</v>
      </c>
      <c r="G10" s="14" t="s">
        <v>58</v>
      </c>
      <c r="H10" s="14" t="str">
        <f t="shared" si="0"/>
        <v>Uncommon</v>
      </c>
      <c r="I10" s="13">
        <v>4</v>
      </c>
      <c r="J10" s="13">
        <v>5</v>
      </c>
      <c r="K10" s="12" t="s">
        <v>24</v>
      </c>
      <c r="L10" s="13">
        <v>1</v>
      </c>
      <c r="M10" s="13">
        <v>0</v>
      </c>
      <c r="N10" s="13">
        <f t="shared" si="1"/>
        <v>1</v>
      </c>
      <c r="O10" s="12"/>
      <c r="P10" s="15"/>
      <c r="Q10" s="15"/>
      <c r="R10" s="15" t="s">
        <v>25</v>
      </c>
      <c r="S10" s="13">
        <v>2</v>
      </c>
      <c r="T10" s="12" t="s">
        <v>59</v>
      </c>
    </row>
    <row r="11" spans="1:20" ht="30" customHeight="1">
      <c r="A11" s="13">
        <v>7</v>
      </c>
      <c r="B11" s="12" t="s">
        <v>82</v>
      </c>
      <c r="C11" s="12" t="s">
        <v>83</v>
      </c>
      <c r="D11" s="12" t="s">
        <v>84</v>
      </c>
      <c r="E11" s="12" t="s">
        <v>10</v>
      </c>
      <c r="F11" s="12" t="s">
        <v>24</v>
      </c>
      <c r="G11" s="14" t="s">
        <v>58</v>
      </c>
      <c r="H11" s="14" t="str">
        <f t="shared" si="0"/>
        <v>Uncommon</v>
      </c>
      <c r="I11" s="13">
        <v>4</v>
      </c>
      <c r="J11" s="13">
        <v>8</v>
      </c>
      <c r="K11" s="12" t="s">
        <v>85</v>
      </c>
      <c r="L11" s="13">
        <v>2</v>
      </c>
      <c r="M11" s="13">
        <v>0</v>
      </c>
      <c r="N11" s="13">
        <f t="shared" si="1"/>
        <v>2</v>
      </c>
      <c r="O11" s="12"/>
      <c r="P11" s="15" t="s">
        <v>86</v>
      </c>
      <c r="Q11" s="15" t="s">
        <v>79</v>
      </c>
      <c r="R11" s="15" t="s">
        <v>25</v>
      </c>
      <c r="S11" s="13">
        <v>2</v>
      </c>
      <c r="T11" s="12" t="s">
        <v>59</v>
      </c>
    </row>
    <row r="12" spans="1:20" ht="30" customHeight="1">
      <c r="A12" s="13">
        <v>8</v>
      </c>
      <c r="B12" s="12" t="s">
        <v>87</v>
      </c>
      <c r="C12" s="12" t="s">
        <v>88</v>
      </c>
      <c r="D12" s="12" t="s">
        <v>89</v>
      </c>
      <c r="E12" s="12" t="s">
        <v>10</v>
      </c>
      <c r="F12" s="12" t="s">
        <v>24</v>
      </c>
      <c r="G12" s="14" t="s">
        <v>67</v>
      </c>
      <c r="H12" s="14" t="str">
        <f t="shared" si="0"/>
        <v>Rare</v>
      </c>
      <c r="I12" s="13">
        <v>3</v>
      </c>
      <c r="J12" s="13">
        <v>3</v>
      </c>
      <c r="K12" s="12" t="s">
        <v>24</v>
      </c>
      <c r="L12" s="13">
        <v>1</v>
      </c>
      <c r="M12" s="13">
        <v>0</v>
      </c>
      <c r="N12" s="13">
        <f t="shared" si="1"/>
        <v>1</v>
      </c>
      <c r="O12" s="12"/>
      <c r="P12" s="15" t="s">
        <v>90</v>
      </c>
      <c r="Q12" s="15" t="s">
        <v>91</v>
      </c>
      <c r="R12" s="15"/>
      <c r="S12" s="13">
        <v>0</v>
      </c>
      <c r="T12" s="12" t="s">
        <v>59</v>
      </c>
    </row>
    <row r="13" spans="1:20" ht="30" customHeight="1">
      <c r="A13" s="13">
        <v>9</v>
      </c>
      <c r="B13" s="12" t="s">
        <v>92</v>
      </c>
      <c r="C13" s="12" t="s">
        <v>93</v>
      </c>
      <c r="D13" s="12" t="s">
        <v>94</v>
      </c>
      <c r="E13" s="12" t="s">
        <v>10</v>
      </c>
      <c r="F13" s="12" t="s">
        <v>24</v>
      </c>
      <c r="G13" s="14" t="s">
        <v>67</v>
      </c>
      <c r="H13" s="14" t="str">
        <f t="shared" si="0"/>
        <v>Rare</v>
      </c>
      <c r="I13" s="13">
        <v>4</v>
      </c>
      <c r="J13" s="13">
        <v>6</v>
      </c>
      <c r="K13" s="12" t="s">
        <v>95</v>
      </c>
      <c r="L13" s="13">
        <v>2</v>
      </c>
      <c r="M13" s="13">
        <v>0</v>
      </c>
      <c r="N13" s="13">
        <f t="shared" si="1"/>
        <v>2</v>
      </c>
      <c r="O13" s="12"/>
      <c r="P13" s="15" t="s">
        <v>96</v>
      </c>
      <c r="Q13" s="15" t="s">
        <v>97</v>
      </c>
      <c r="R13" s="15"/>
      <c r="S13" s="13">
        <v>0</v>
      </c>
      <c r="T13" s="12" t="s">
        <v>59</v>
      </c>
    </row>
    <row r="14" spans="1:20" ht="30" customHeight="1">
      <c r="A14" s="13">
        <v>10</v>
      </c>
      <c r="B14" s="12" t="s">
        <v>98</v>
      </c>
      <c r="C14" s="12" t="s">
        <v>99</v>
      </c>
      <c r="D14" s="12" t="s">
        <v>100</v>
      </c>
      <c r="E14" s="12" t="s">
        <v>10</v>
      </c>
      <c r="F14" s="12" t="s">
        <v>24</v>
      </c>
      <c r="G14" s="14" t="s">
        <v>67</v>
      </c>
      <c r="H14" s="14" t="str">
        <f t="shared" si="0"/>
        <v>Rare</v>
      </c>
      <c r="I14" s="13">
        <v>8</v>
      </c>
      <c r="J14" s="13">
        <v>8</v>
      </c>
      <c r="K14" s="12" t="s">
        <v>101</v>
      </c>
      <c r="L14" s="13">
        <v>3</v>
      </c>
      <c r="M14" s="13">
        <v>0</v>
      </c>
      <c r="N14" s="13">
        <f t="shared" si="1"/>
        <v>3</v>
      </c>
      <c r="O14" s="12"/>
      <c r="P14" s="15" t="s">
        <v>102</v>
      </c>
      <c r="Q14" s="15" t="s">
        <v>69</v>
      </c>
      <c r="R14" s="15" t="s">
        <v>25</v>
      </c>
      <c r="S14" s="13">
        <v>1</v>
      </c>
      <c r="T14" s="12" t="s">
        <v>59</v>
      </c>
    </row>
    <row r="15" spans="1:20" ht="30" customHeight="1">
      <c r="A15" s="13">
        <v>11</v>
      </c>
      <c r="B15" s="12" t="s">
        <v>103</v>
      </c>
      <c r="C15" s="12" t="s">
        <v>104</v>
      </c>
      <c r="D15" s="12"/>
      <c r="E15" s="12" t="s">
        <v>10</v>
      </c>
      <c r="F15" s="12" t="s">
        <v>26</v>
      </c>
      <c r="G15" s="14" t="s">
        <v>58</v>
      </c>
      <c r="H15" s="14" t="str">
        <f t="shared" si="0"/>
        <v>Uncommon</v>
      </c>
      <c r="I15" s="13">
        <v>4</v>
      </c>
      <c r="J15" s="13">
        <v>5</v>
      </c>
      <c r="K15" s="12" t="s">
        <v>26</v>
      </c>
      <c r="L15" s="13">
        <v>1</v>
      </c>
      <c r="M15" s="13">
        <v>0</v>
      </c>
      <c r="N15" s="13">
        <f t="shared" si="1"/>
        <v>1</v>
      </c>
      <c r="O15" s="12"/>
      <c r="P15" s="15"/>
      <c r="Q15" s="15"/>
      <c r="R15" s="15" t="s">
        <v>27</v>
      </c>
      <c r="S15" s="13">
        <v>1</v>
      </c>
      <c r="T15" s="12" t="s">
        <v>59</v>
      </c>
    </row>
    <row r="16" spans="1:20" ht="30" customHeight="1">
      <c r="A16" s="13">
        <v>12</v>
      </c>
      <c r="B16" s="12" t="s">
        <v>105</v>
      </c>
      <c r="C16" s="12" t="s">
        <v>106</v>
      </c>
      <c r="D16" s="12" t="s">
        <v>107</v>
      </c>
      <c r="E16" s="12" t="s">
        <v>10</v>
      </c>
      <c r="F16" s="12" t="s">
        <v>26</v>
      </c>
      <c r="G16" s="14" t="s">
        <v>58</v>
      </c>
      <c r="H16" s="14" t="str">
        <f t="shared" si="0"/>
        <v>Uncommon</v>
      </c>
      <c r="I16" s="13">
        <v>5</v>
      </c>
      <c r="J16" s="13">
        <v>6</v>
      </c>
      <c r="K16" s="12" t="s">
        <v>108</v>
      </c>
      <c r="L16" s="13">
        <v>2</v>
      </c>
      <c r="M16" s="13">
        <v>0</v>
      </c>
      <c r="N16" s="13">
        <f t="shared" si="1"/>
        <v>2</v>
      </c>
      <c r="O16" s="12"/>
      <c r="P16" s="15" t="s">
        <v>109</v>
      </c>
      <c r="Q16" s="15" t="s">
        <v>79</v>
      </c>
      <c r="R16" s="15" t="s">
        <v>27</v>
      </c>
      <c r="S16" s="13">
        <v>2</v>
      </c>
      <c r="T16" s="12" t="s">
        <v>59</v>
      </c>
    </row>
    <row r="17" spans="1:20" ht="30" customHeight="1">
      <c r="A17" s="13">
        <v>13</v>
      </c>
      <c r="B17" s="12" t="s">
        <v>110</v>
      </c>
      <c r="C17" s="12" t="s">
        <v>111</v>
      </c>
      <c r="D17" s="12" t="s">
        <v>112</v>
      </c>
      <c r="E17" s="12" t="s">
        <v>10</v>
      </c>
      <c r="F17" s="12" t="s">
        <v>26</v>
      </c>
      <c r="G17" s="14" t="s">
        <v>67</v>
      </c>
      <c r="H17" s="14" t="str">
        <f t="shared" si="0"/>
        <v>Rare</v>
      </c>
      <c r="I17" s="13">
        <v>3</v>
      </c>
      <c r="J17" s="13">
        <v>4</v>
      </c>
      <c r="K17" s="12" t="s">
        <v>26</v>
      </c>
      <c r="L17" s="13">
        <v>1</v>
      </c>
      <c r="M17" s="13">
        <v>0</v>
      </c>
      <c r="N17" s="13">
        <f t="shared" si="1"/>
        <v>1</v>
      </c>
      <c r="O17" s="12"/>
      <c r="P17" s="15" t="s">
        <v>113</v>
      </c>
      <c r="Q17" s="15" t="s">
        <v>114</v>
      </c>
      <c r="R17" s="15"/>
      <c r="S17" s="13">
        <v>0</v>
      </c>
      <c r="T17" s="12" t="s">
        <v>59</v>
      </c>
    </row>
    <row r="18" spans="1:20" ht="30" customHeight="1">
      <c r="A18" s="13">
        <v>14</v>
      </c>
      <c r="B18" s="12" t="s">
        <v>115</v>
      </c>
      <c r="C18" s="12" t="s">
        <v>116</v>
      </c>
      <c r="D18" s="12" t="s">
        <v>117</v>
      </c>
      <c r="E18" s="12" t="s">
        <v>10</v>
      </c>
      <c r="F18" s="12" t="s">
        <v>26</v>
      </c>
      <c r="G18" s="14" t="s">
        <v>67</v>
      </c>
      <c r="H18" s="14" t="str">
        <f t="shared" si="0"/>
        <v>Rare</v>
      </c>
      <c r="I18" s="13">
        <v>5</v>
      </c>
      <c r="J18" s="13">
        <v>6</v>
      </c>
      <c r="K18" s="12" t="s">
        <v>108</v>
      </c>
      <c r="L18" s="13">
        <v>2</v>
      </c>
      <c r="M18" s="13">
        <v>0</v>
      </c>
      <c r="N18" s="13">
        <f t="shared" si="1"/>
        <v>2</v>
      </c>
      <c r="O18" s="12"/>
      <c r="P18" s="15" t="s">
        <v>118</v>
      </c>
      <c r="Q18" s="15" t="s">
        <v>91</v>
      </c>
      <c r="R18" s="15"/>
      <c r="S18" s="13">
        <v>0</v>
      </c>
      <c r="T18" s="12" t="s">
        <v>59</v>
      </c>
    </row>
    <row r="19" spans="1:20" ht="45" customHeight="1">
      <c r="A19" s="13">
        <v>15</v>
      </c>
      <c r="B19" s="12" t="s">
        <v>119</v>
      </c>
      <c r="C19" s="12" t="s">
        <v>120</v>
      </c>
      <c r="D19" s="12" t="s">
        <v>121</v>
      </c>
      <c r="E19" s="12" t="s">
        <v>10</v>
      </c>
      <c r="F19" s="12" t="s">
        <v>26</v>
      </c>
      <c r="G19" s="14" t="s">
        <v>67</v>
      </c>
      <c r="H19" s="14" t="str">
        <f t="shared" si="0"/>
        <v>Rare</v>
      </c>
      <c r="I19" s="13">
        <v>4</v>
      </c>
      <c r="J19" s="13">
        <v>6</v>
      </c>
      <c r="K19" s="12" t="s">
        <v>108</v>
      </c>
      <c r="L19" s="13">
        <v>2</v>
      </c>
      <c r="M19" s="13">
        <v>0</v>
      </c>
      <c r="N19" s="13">
        <f t="shared" si="1"/>
        <v>2</v>
      </c>
      <c r="O19" s="12"/>
      <c r="P19" s="15" t="s">
        <v>122</v>
      </c>
      <c r="Q19" s="15" t="s">
        <v>123</v>
      </c>
      <c r="R19" s="15" t="s">
        <v>27</v>
      </c>
      <c r="S19" s="13">
        <v>2</v>
      </c>
      <c r="T19" s="12" t="s">
        <v>59</v>
      </c>
    </row>
    <row r="20" spans="1:20" ht="30" customHeight="1">
      <c r="A20" s="13">
        <v>16</v>
      </c>
      <c r="B20" s="12" t="s">
        <v>124</v>
      </c>
      <c r="C20" s="12" t="s">
        <v>125</v>
      </c>
      <c r="D20" s="12"/>
      <c r="E20" s="12" t="s">
        <v>10</v>
      </c>
      <c r="F20" s="12" t="s">
        <v>26</v>
      </c>
      <c r="G20" s="14" t="s">
        <v>67</v>
      </c>
      <c r="H20" s="14" t="str">
        <f t="shared" si="0"/>
        <v>Rare</v>
      </c>
      <c r="I20" s="13">
        <v>4</v>
      </c>
      <c r="J20" s="13">
        <v>5</v>
      </c>
      <c r="K20" s="12" t="s">
        <v>108</v>
      </c>
      <c r="L20" s="13">
        <v>2</v>
      </c>
      <c r="M20" s="13">
        <v>0</v>
      </c>
      <c r="N20" s="13">
        <f t="shared" si="1"/>
        <v>2</v>
      </c>
      <c r="O20" s="12"/>
      <c r="P20" s="15" t="s">
        <v>126</v>
      </c>
      <c r="Q20" s="15" t="s">
        <v>127</v>
      </c>
      <c r="R20" s="15"/>
      <c r="S20" s="13">
        <v>0</v>
      </c>
      <c r="T20" s="12" t="s">
        <v>59</v>
      </c>
    </row>
    <row r="21" spans="1:20" ht="30" customHeight="1">
      <c r="A21" s="13">
        <v>17</v>
      </c>
      <c r="B21" s="12" t="s">
        <v>128</v>
      </c>
      <c r="C21" s="12" t="s">
        <v>129</v>
      </c>
      <c r="D21" s="12"/>
      <c r="E21" s="12" t="s">
        <v>10</v>
      </c>
      <c r="F21" s="12" t="s">
        <v>24</v>
      </c>
      <c r="G21" s="14" t="s">
        <v>58</v>
      </c>
      <c r="H21" s="14" t="str">
        <f t="shared" si="0"/>
        <v>Uncommon</v>
      </c>
      <c r="I21" s="13">
        <v>3</v>
      </c>
      <c r="J21" s="13">
        <v>5</v>
      </c>
      <c r="K21" s="12" t="s">
        <v>24</v>
      </c>
      <c r="L21" s="13">
        <v>1</v>
      </c>
      <c r="M21" s="13">
        <v>0</v>
      </c>
      <c r="N21" s="13">
        <f t="shared" si="1"/>
        <v>1</v>
      </c>
      <c r="O21" s="12"/>
      <c r="P21" s="15" t="s">
        <v>130</v>
      </c>
      <c r="Q21" s="15" t="s">
        <v>69</v>
      </c>
      <c r="R21" s="15"/>
      <c r="S21" s="13">
        <v>0</v>
      </c>
      <c r="T21" s="12" t="s">
        <v>59</v>
      </c>
    </row>
    <row r="22" spans="1:20" ht="60" customHeight="1">
      <c r="A22" s="13">
        <v>18</v>
      </c>
      <c r="B22" s="12" t="s">
        <v>131</v>
      </c>
      <c r="C22" s="12" t="s">
        <v>132</v>
      </c>
      <c r="D22" s="12"/>
      <c r="E22" s="12" t="s">
        <v>10</v>
      </c>
      <c r="F22" s="12" t="s">
        <v>28</v>
      </c>
      <c r="G22" s="14" t="s">
        <v>67</v>
      </c>
      <c r="H22" s="14" t="str">
        <f t="shared" si="0"/>
        <v>Rare</v>
      </c>
      <c r="I22" s="13">
        <v>2</v>
      </c>
      <c r="J22" s="13">
        <v>2</v>
      </c>
      <c r="K22" s="12" t="s">
        <v>28</v>
      </c>
      <c r="L22" s="13">
        <v>1</v>
      </c>
      <c r="M22" s="13">
        <v>0</v>
      </c>
      <c r="N22" s="13">
        <f t="shared" si="1"/>
        <v>1</v>
      </c>
      <c r="O22" s="12"/>
      <c r="P22" s="15" t="s">
        <v>133</v>
      </c>
      <c r="Q22" s="15" t="s">
        <v>134</v>
      </c>
      <c r="R22" s="15" t="s">
        <v>29</v>
      </c>
      <c r="S22" s="13">
        <v>1</v>
      </c>
      <c r="T22" s="12" t="s">
        <v>59</v>
      </c>
    </row>
    <row r="23" spans="1:20" ht="30" customHeight="1">
      <c r="A23" s="13">
        <v>19</v>
      </c>
      <c r="B23" s="12" t="s">
        <v>135</v>
      </c>
      <c r="C23" s="12" t="s">
        <v>136</v>
      </c>
      <c r="D23" s="12"/>
      <c r="E23" s="12" t="s">
        <v>10</v>
      </c>
      <c r="F23" s="12" t="s">
        <v>28</v>
      </c>
      <c r="G23" s="14" t="s">
        <v>58</v>
      </c>
      <c r="H23" s="14" t="str">
        <f t="shared" si="0"/>
        <v>Uncommon</v>
      </c>
      <c r="I23" s="13">
        <v>3</v>
      </c>
      <c r="J23" s="13">
        <v>5</v>
      </c>
      <c r="K23" s="12" t="s">
        <v>137</v>
      </c>
      <c r="L23" s="13">
        <v>2</v>
      </c>
      <c r="M23" s="13">
        <v>0</v>
      </c>
      <c r="N23" s="13">
        <f t="shared" si="1"/>
        <v>2</v>
      </c>
      <c r="O23" s="12"/>
      <c r="P23" s="15" t="s">
        <v>138</v>
      </c>
      <c r="Q23" s="15" t="s">
        <v>139</v>
      </c>
      <c r="R23" s="15" t="s">
        <v>29</v>
      </c>
      <c r="S23" s="13">
        <v>2</v>
      </c>
      <c r="T23" s="12" t="s">
        <v>59</v>
      </c>
    </row>
    <row r="24" spans="1:20" ht="30" customHeight="1">
      <c r="A24" s="13">
        <v>20</v>
      </c>
      <c r="B24" s="12" t="s">
        <v>140</v>
      </c>
      <c r="C24" s="12" t="s">
        <v>141</v>
      </c>
      <c r="D24" s="12" t="s">
        <v>142</v>
      </c>
      <c r="E24" s="12" t="s">
        <v>10</v>
      </c>
      <c r="F24" s="12" t="s">
        <v>28</v>
      </c>
      <c r="G24" s="14" t="s">
        <v>58</v>
      </c>
      <c r="H24" s="14" t="str">
        <f t="shared" si="0"/>
        <v>Uncommon</v>
      </c>
      <c r="I24" s="13">
        <v>4</v>
      </c>
      <c r="J24" s="13">
        <v>5</v>
      </c>
      <c r="K24" s="12" t="s">
        <v>28</v>
      </c>
      <c r="L24" s="13">
        <v>1</v>
      </c>
      <c r="M24" s="13">
        <v>0</v>
      </c>
      <c r="N24" s="13">
        <f t="shared" si="1"/>
        <v>1</v>
      </c>
      <c r="O24" s="12"/>
      <c r="P24" s="15"/>
      <c r="Q24" s="15"/>
      <c r="R24" s="15" t="s">
        <v>29</v>
      </c>
      <c r="S24" s="13">
        <v>2</v>
      </c>
      <c r="T24" s="12" t="s">
        <v>59</v>
      </c>
    </row>
    <row r="25" spans="1:20" ht="30" customHeight="1">
      <c r="A25" s="13">
        <v>21</v>
      </c>
      <c r="B25" s="12" t="s">
        <v>143</v>
      </c>
      <c r="C25" s="12" t="s">
        <v>144</v>
      </c>
      <c r="D25" s="12"/>
      <c r="E25" s="12" t="s">
        <v>10</v>
      </c>
      <c r="F25" s="12" t="s">
        <v>22</v>
      </c>
      <c r="G25" s="14" t="s">
        <v>58</v>
      </c>
      <c r="H25" s="14" t="str">
        <f t="shared" si="0"/>
        <v>Uncommon</v>
      </c>
      <c r="I25" s="13">
        <v>4</v>
      </c>
      <c r="J25" s="13">
        <v>3</v>
      </c>
      <c r="K25" s="12" t="s">
        <v>22</v>
      </c>
      <c r="L25" s="13">
        <v>1</v>
      </c>
      <c r="M25" s="13">
        <v>0</v>
      </c>
      <c r="N25" s="13">
        <f t="shared" si="1"/>
        <v>1</v>
      </c>
      <c r="O25" s="12"/>
      <c r="P25" s="15" t="s">
        <v>145</v>
      </c>
      <c r="Q25" s="15" t="s">
        <v>69</v>
      </c>
      <c r="R25" s="15"/>
      <c r="S25" s="13">
        <v>0</v>
      </c>
      <c r="T25" s="12" t="s">
        <v>59</v>
      </c>
    </row>
    <row r="26" spans="1:20" ht="30" customHeight="1">
      <c r="A26" s="13">
        <v>22</v>
      </c>
      <c r="B26" s="12" t="s">
        <v>146</v>
      </c>
      <c r="C26" s="12" t="s">
        <v>147</v>
      </c>
      <c r="D26" s="12"/>
      <c r="E26" s="12" t="s">
        <v>10</v>
      </c>
      <c r="F26" s="12" t="s">
        <v>24</v>
      </c>
      <c r="G26" s="14" t="s">
        <v>67</v>
      </c>
      <c r="H26" s="14" t="str">
        <f t="shared" si="0"/>
        <v>Rare</v>
      </c>
      <c r="I26" s="13">
        <v>5</v>
      </c>
      <c r="J26" s="13">
        <v>6</v>
      </c>
      <c r="K26" s="12" t="s">
        <v>85</v>
      </c>
      <c r="L26" s="13">
        <v>2</v>
      </c>
      <c r="M26" s="13">
        <v>0</v>
      </c>
      <c r="N26" s="13">
        <f t="shared" si="1"/>
        <v>2</v>
      </c>
      <c r="O26" s="12"/>
      <c r="P26" s="15" t="s">
        <v>148</v>
      </c>
      <c r="Q26" s="15" t="s">
        <v>149</v>
      </c>
      <c r="R26" s="15"/>
      <c r="S26" s="13">
        <v>0</v>
      </c>
      <c r="T26" s="12" t="s">
        <v>59</v>
      </c>
    </row>
    <row r="27" spans="1:20" ht="30" customHeight="1">
      <c r="A27" s="13">
        <v>23</v>
      </c>
      <c r="B27" s="12" t="s">
        <v>150</v>
      </c>
      <c r="C27" s="12" t="s">
        <v>151</v>
      </c>
      <c r="D27" s="12"/>
      <c r="E27" s="12" t="s">
        <v>10</v>
      </c>
      <c r="F27" s="12" t="s">
        <v>24</v>
      </c>
      <c r="G27" s="14" t="s">
        <v>67</v>
      </c>
      <c r="H27" s="14" t="str">
        <f t="shared" si="0"/>
        <v>Rare</v>
      </c>
      <c r="I27" s="13">
        <v>4</v>
      </c>
      <c r="J27" s="13">
        <v>7</v>
      </c>
      <c r="K27" s="12" t="s">
        <v>85</v>
      </c>
      <c r="L27" s="13">
        <v>2</v>
      </c>
      <c r="M27" s="13">
        <v>0</v>
      </c>
      <c r="N27" s="13">
        <f t="shared" si="1"/>
        <v>2</v>
      </c>
      <c r="O27" s="12"/>
      <c r="P27" s="15" t="s">
        <v>152</v>
      </c>
      <c r="Q27" s="15" t="s">
        <v>69</v>
      </c>
      <c r="R27" s="15"/>
      <c r="S27" s="13">
        <v>0</v>
      </c>
      <c r="T27" s="12" t="s">
        <v>59</v>
      </c>
    </row>
    <row r="28" spans="1:20" ht="30" customHeight="1">
      <c r="A28" s="13">
        <v>24</v>
      </c>
      <c r="B28" s="12" t="s">
        <v>153</v>
      </c>
      <c r="C28" s="12" t="s">
        <v>154</v>
      </c>
      <c r="D28" s="12"/>
      <c r="E28" s="12" t="s">
        <v>10</v>
      </c>
      <c r="F28" s="12" t="s">
        <v>30</v>
      </c>
      <c r="G28" s="14" t="s">
        <v>67</v>
      </c>
      <c r="H28" s="14" t="str">
        <f t="shared" si="0"/>
        <v>Rare</v>
      </c>
      <c r="I28" s="13">
        <v>4</v>
      </c>
      <c r="J28" s="13">
        <v>6</v>
      </c>
      <c r="K28" s="12" t="s">
        <v>155</v>
      </c>
      <c r="L28" s="13">
        <v>3</v>
      </c>
      <c r="M28" s="13">
        <v>0</v>
      </c>
      <c r="N28" s="13">
        <f t="shared" si="1"/>
        <v>3</v>
      </c>
      <c r="O28" s="12"/>
      <c r="P28" s="15" t="s">
        <v>156</v>
      </c>
      <c r="Q28" s="15" t="s">
        <v>69</v>
      </c>
      <c r="R28" s="15" t="s">
        <v>31</v>
      </c>
      <c r="S28" s="13">
        <v>2</v>
      </c>
      <c r="T28" s="12" t="s">
        <v>59</v>
      </c>
    </row>
    <row r="29" spans="1:20" ht="30" customHeight="1">
      <c r="A29" s="13">
        <v>25</v>
      </c>
      <c r="B29" s="12" t="s">
        <v>157</v>
      </c>
      <c r="C29" s="12" t="s">
        <v>158</v>
      </c>
      <c r="D29" s="12"/>
      <c r="E29" s="12" t="s">
        <v>10</v>
      </c>
      <c r="F29" s="12" t="s">
        <v>30</v>
      </c>
      <c r="G29" s="14" t="s">
        <v>58</v>
      </c>
      <c r="H29" s="14" t="str">
        <f t="shared" si="0"/>
        <v>Uncommon</v>
      </c>
      <c r="I29" s="13">
        <v>4</v>
      </c>
      <c r="J29" s="13">
        <v>6</v>
      </c>
      <c r="K29" s="12" t="s">
        <v>159</v>
      </c>
      <c r="L29" s="13">
        <v>2</v>
      </c>
      <c r="M29" s="13">
        <v>0</v>
      </c>
      <c r="N29" s="13">
        <f t="shared" si="1"/>
        <v>2</v>
      </c>
      <c r="O29" s="12"/>
      <c r="P29" s="15" t="s">
        <v>160</v>
      </c>
      <c r="Q29" s="15" t="s">
        <v>79</v>
      </c>
      <c r="R29" s="15" t="s">
        <v>31</v>
      </c>
      <c r="S29" s="13">
        <v>2</v>
      </c>
      <c r="T29" s="12" t="s">
        <v>59</v>
      </c>
    </row>
    <row r="30" spans="1:20" ht="45" customHeight="1">
      <c r="A30" s="13">
        <v>26</v>
      </c>
      <c r="B30" s="12" t="s">
        <v>161</v>
      </c>
      <c r="C30" s="12" t="s">
        <v>162</v>
      </c>
      <c r="D30" s="12"/>
      <c r="E30" s="12" t="s">
        <v>10</v>
      </c>
      <c r="F30" s="12" t="s">
        <v>26</v>
      </c>
      <c r="G30" s="14" t="s">
        <v>67</v>
      </c>
      <c r="H30" s="14" t="str">
        <f t="shared" si="0"/>
        <v>Rare</v>
      </c>
      <c r="I30" s="13">
        <v>4</v>
      </c>
      <c r="J30" s="13">
        <v>5</v>
      </c>
      <c r="K30" s="12" t="s">
        <v>26</v>
      </c>
      <c r="L30" s="13">
        <v>1</v>
      </c>
      <c r="M30" s="13">
        <v>0</v>
      </c>
      <c r="N30" s="13">
        <f t="shared" si="1"/>
        <v>1</v>
      </c>
      <c r="O30" s="12"/>
      <c r="P30" s="15" t="s">
        <v>163</v>
      </c>
      <c r="Q30" s="15" t="s">
        <v>164</v>
      </c>
      <c r="R30" s="15"/>
      <c r="S30" s="13">
        <v>0</v>
      </c>
      <c r="T30" s="12" t="s">
        <v>59</v>
      </c>
    </row>
    <row r="31" spans="1:20" ht="30" customHeight="1">
      <c r="A31" s="13">
        <v>27</v>
      </c>
      <c r="B31" s="12" t="s">
        <v>165</v>
      </c>
      <c r="C31" s="12" t="s">
        <v>166</v>
      </c>
      <c r="D31" s="12"/>
      <c r="E31" s="12" t="s">
        <v>10</v>
      </c>
      <c r="F31" s="12" t="s">
        <v>26</v>
      </c>
      <c r="G31" s="14" t="s">
        <v>67</v>
      </c>
      <c r="H31" s="14" t="str">
        <f t="shared" si="0"/>
        <v>Rare</v>
      </c>
      <c r="I31" s="13">
        <v>3</v>
      </c>
      <c r="J31" s="13">
        <v>4</v>
      </c>
      <c r="K31" s="12" t="s">
        <v>108</v>
      </c>
      <c r="L31" s="13">
        <v>2</v>
      </c>
      <c r="M31" s="13">
        <v>0</v>
      </c>
      <c r="N31" s="13">
        <f t="shared" si="1"/>
        <v>2</v>
      </c>
      <c r="O31" s="12"/>
      <c r="P31" s="15" t="s">
        <v>167</v>
      </c>
      <c r="Q31" s="15" t="s">
        <v>168</v>
      </c>
      <c r="R31" s="15"/>
      <c r="S31" s="13">
        <v>0</v>
      </c>
      <c r="T31" s="12" t="s">
        <v>59</v>
      </c>
    </row>
    <row r="32" spans="1:20" ht="30" customHeight="1">
      <c r="A32" s="13">
        <v>28</v>
      </c>
      <c r="B32" s="12" t="s">
        <v>169</v>
      </c>
      <c r="C32" s="12" t="s">
        <v>170</v>
      </c>
      <c r="D32" s="12"/>
      <c r="E32" s="12" t="s">
        <v>10</v>
      </c>
      <c r="F32" s="12" t="s">
        <v>30</v>
      </c>
      <c r="G32" s="14" t="s">
        <v>67</v>
      </c>
      <c r="H32" s="14" t="str">
        <f t="shared" si="0"/>
        <v>Rare</v>
      </c>
      <c r="I32" s="13">
        <v>3</v>
      </c>
      <c r="J32" s="13">
        <v>4</v>
      </c>
      <c r="K32" s="12" t="s">
        <v>30</v>
      </c>
      <c r="L32" s="13">
        <v>1</v>
      </c>
      <c r="M32" s="13">
        <v>0</v>
      </c>
      <c r="N32" s="13">
        <f t="shared" si="1"/>
        <v>1</v>
      </c>
      <c r="O32" s="12"/>
      <c r="P32" s="15" t="s">
        <v>171</v>
      </c>
      <c r="Q32" s="15" t="s">
        <v>172</v>
      </c>
      <c r="R32" s="15" t="s">
        <v>31</v>
      </c>
      <c r="S32" s="13">
        <v>2</v>
      </c>
      <c r="T32" s="12" t="s">
        <v>59</v>
      </c>
    </row>
    <row r="33" spans="1:20" ht="30" customHeight="1">
      <c r="A33" s="13">
        <v>29</v>
      </c>
      <c r="B33" s="12" t="s">
        <v>173</v>
      </c>
      <c r="C33" s="12" t="s">
        <v>174</v>
      </c>
      <c r="D33" s="12"/>
      <c r="E33" s="12" t="s">
        <v>7</v>
      </c>
      <c r="F33" s="12" t="s">
        <v>22</v>
      </c>
      <c r="G33" s="14" t="s">
        <v>58</v>
      </c>
      <c r="H33" s="14" t="str">
        <f t="shared" si="0"/>
        <v>Common</v>
      </c>
      <c r="I33" s="13">
        <v>1</v>
      </c>
      <c r="J33" s="13">
        <v>1</v>
      </c>
      <c r="K33" s="12" t="s">
        <v>22</v>
      </c>
      <c r="L33" s="13">
        <v>0</v>
      </c>
      <c r="M33" s="13">
        <v>0</v>
      </c>
      <c r="N33" s="13">
        <f t="shared" si="1"/>
        <v>0</v>
      </c>
      <c r="O33" s="12"/>
      <c r="P33" s="15" t="s">
        <v>175</v>
      </c>
      <c r="Q33" s="15" t="s">
        <v>79</v>
      </c>
      <c r="R33" s="15" t="s">
        <v>23</v>
      </c>
      <c r="S33" s="13">
        <v>3</v>
      </c>
      <c r="T33" s="12" t="s">
        <v>59</v>
      </c>
    </row>
    <row r="34" spans="1:20" ht="30" customHeight="1">
      <c r="A34" s="13">
        <v>30</v>
      </c>
      <c r="B34" s="12" t="s">
        <v>176</v>
      </c>
      <c r="C34" s="12" t="s">
        <v>177</v>
      </c>
      <c r="D34" s="12"/>
      <c r="E34" s="12" t="s">
        <v>7</v>
      </c>
      <c r="F34" s="12" t="s">
        <v>22</v>
      </c>
      <c r="G34" s="14" t="s">
        <v>58</v>
      </c>
      <c r="H34" s="14" t="str">
        <f t="shared" si="0"/>
        <v>Common</v>
      </c>
      <c r="I34" s="13">
        <v>2</v>
      </c>
      <c r="J34" s="13">
        <v>3</v>
      </c>
      <c r="K34" s="12" t="s">
        <v>22</v>
      </c>
      <c r="L34" s="13">
        <v>0</v>
      </c>
      <c r="M34" s="13">
        <v>0</v>
      </c>
      <c r="N34" s="13">
        <f t="shared" si="1"/>
        <v>0</v>
      </c>
      <c r="O34" s="12"/>
      <c r="P34" s="15"/>
      <c r="Q34" s="15"/>
      <c r="R34" s="15" t="s">
        <v>23</v>
      </c>
      <c r="S34" s="13">
        <v>2</v>
      </c>
      <c r="T34" s="12" t="s">
        <v>59</v>
      </c>
    </row>
    <row r="35" spans="1:20" ht="30" customHeight="1">
      <c r="A35" s="13">
        <v>31</v>
      </c>
      <c r="B35" s="12" t="s">
        <v>178</v>
      </c>
      <c r="C35" s="12" t="s">
        <v>179</v>
      </c>
      <c r="D35" s="12"/>
      <c r="E35" s="12" t="s">
        <v>7</v>
      </c>
      <c r="F35" s="12" t="s">
        <v>22</v>
      </c>
      <c r="G35" s="14" t="s">
        <v>58</v>
      </c>
      <c r="H35" s="14" t="str">
        <f t="shared" si="0"/>
        <v>Common</v>
      </c>
      <c r="I35" s="13">
        <v>1</v>
      </c>
      <c r="J35" s="13">
        <v>2</v>
      </c>
      <c r="K35" s="12" t="s">
        <v>22</v>
      </c>
      <c r="L35" s="13">
        <v>0</v>
      </c>
      <c r="M35" s="13">
        <v>0</v>
      </c>
      <c r="N35" s="13">
        <f t="shared" si="1"/>
        <v>0</v>
      </c>
      <c r="O35" s="12" t="s">
        <v>180</v>
      </c>
      <c r="P35" s="15" t="s">
        <v>181</v>
      </c>
      <c r="Q35" s="15"/>
      <c r="R35" s="15" t="s">
        <v>23</v>
      </c>
      <c r="S35" s="13">
        <v>3</v>
      </c>
      <c r="T35" s="12" t="s">
        <v>59</v>
      </c>
    </row>
    <row r="36" spans="1:20" ht="30" customHeight="1">
      <c r="A36" s="13">
        <v>32</v>
      </c>
      <c r="B36" s="12" t="s">
        <v>182</v>
      </c>
      <c r="C36" s="12" t="s">
        <v>183</v>
      </c>
      <c r="D36" s="12" t="s">
        <v>184</v>
      </c>
      <c r="E36" s="12" t="s">
        <v>7</v>
      </c>
      <c r="F36" s="12" t="s">
        <v>22</v>
      </c>
      <c r="G36" s="14" t="s">
        <v>67</v>
      </c>
      <c r="H36" s="14" t="str">
        <f t="shared" si="0"/>
        <v>Rare</v>
      </c>
      <c r="I36" s="13">
        <v>2</v>
      </c>
      <c r="J36" s="13">
        <v>1</v>
      </c>
      <c r="K36" s="12" t="s">
        <v>22</v>
      </c>
      <c r="L36" s="13">
        <v>0</v>
      </c>
      <c r="M36" s="13">
        <v>0</v>
      </c>
      <c r="N36" s="13">
        <f t="shared" si="1"/>
        <v>0</v>
      </c>
      <c r="O36" s="12"/>
      <c r="P36" s="15" t="s">
        <v>185</v>
      </c>
      <c r="Q36" s="15" t="s">
        <v>79</v>
      </c>
      <c r="R36" s="15" t="s">
        <v>23</v>
      </c>
      <c r="S36" s="13">
        <v>2</v>
      </c>
      <c r="T36" s="12" t="s">
        <v>59</v>
      </c>
    </row>
    <row r="37" spans="1:20" ht="30" customHeight="1">
      <c r="A37" s="13">
        <v>33</v>
      </c>
      <c r="B37" s="12" t="s">
        <v>186</v>
      </c>
      <c r="C37" s="12" t="s">
        <v>187</v>
      </c>
      <c r="D37" s="12" t="s">
        <v>188</v>
      </c>
      <c r="E37" s="12" t="s">
        <v>7</v>
      </c>
      <c r="F37" s="12" t="s">
        <v>22</v>
      </c>
      <c r="G37" s="14" t="s">
        <v>58</v>
      </c>
      <c r="H37" s="14" t="str">
        <f t="shared" ref="H37:H68" si="2">IF(E37="Chef","Mythic",IF(G37="Yes","Rare",IF(OR(E37="Meal",E37="Spice",E37="Environment"),"Uncommon","Common")))</f>
        <v>Common</v>
      </c>
      <c r="I37" s="13">
        <v>1</v>
      </c>
      <c r="J37" s="13">
        <v>1</v>
      </c>
      <c r="K37" s="12" t="s">
        <v>22</v>
      </c>
      <c r="L37" s="13">
        <v>0</v>
      </c>
      <c r="M37" s="13">
        <v>0</v>
      </c>
      <c r="N37" s="13">
        <f t="shared" ref="N37:N68" si="3">IF(E37="Meal",L37,M37)</f>
        <v>0</v>
      </c>
      <c r="O37" s="12"/>
      <c r="P37" s="15" t="s">
        <v>189</v>
      </c>
      <c r="Q37" s="15" t="s">
        <v>69</v>
      </c>
      <c r="R37" s="15" t="s">
        <v>23</v>
      </c>
      <c r="S37" s="13">
        <v>1</v>
      </c>
      <c r="T37" s="12" t="s">
        <v>59</v>
      </c>
    </row>
    <row r="38" spans="1:20" ht="30" customHeight="1">
      <c r="A38" s="13">
        <v>34</v>
      </c>
      <c r="B38" s="12" t="s">
        <v>190</v>
      </c>
      <c r="C38" s="12" t="s">
        <v>191</v>
      </c>
      <c r="D38" s="12" t="s">
        <v>192</v>
      </c>
      <c r="E38" s="12" t="s">
        <v>7</v>
      </c>
      <c r="F38" s="12" t="s">
        <v>22</v>
      </c>
      <c r="G38" s="14" t="s">
        <v>67</v>
      </c>
      <c r="H38" s="14" t="str">
        <f t="shared" si="2"/>
        <v>Rare</v>
      </c>
      <c r="I38" s="13">
        <v>2</v>
      </c>
      <c r="J38" s="13">
        <v>1</v>
      </c>
      <c r="K38" s="12" t="s">
        <v>22</v>
      </c>
      <c r="L38" s="13">
        <v>0</v>
      </c>
      <c r="M38" s="13">
        <v>0</v>
      </c>
      <c r="N38" s="13">
        <f t="shared" si="3"/>
        <v>0</v>
      </c>
      <c r="O38" s="12"/>
      <c r="P38" s="15" t="s">
        <v>193</v>
      </c>
      <c r="Q38" s="15" t="s">
        <v>79</v>
      </c>
      <c r="R38" s="15"/>
      <c r="S38" s="13">
        <v>0</v>
      </c>
      <c r="T38" s="12" t="s">
        <v>59</v>
      </c>
    </row>
    <row r="39" spans="1:20" ht="30" customHeight="1">
      <c r="A39" s="13">
        <v>35</v>
      </c>
      <c r="B39" s="12" t="s">
        <v>194</v>
      </c>
      <c r="C39" s="12" t="s">
        <v>195</v>
      </c>
      <c r="D39" s="12" t="s">
        <v>196</v>
      </c>
      <c r="E39" s="12" t="s">
        <v>7</v>
      </c>
      <c r="F39" s="12" t="s">
        <v>22</v>
      </c>
      <c r="G39" s="14" t="s">
        <v>58</v>
      </c>
      <c r="H39" s="14" t="str">
        <f t="shared" si="2"/>
        <v>Common</v>
      </c>
      <c r="I39" s="13">
        <v>2</v>
      </c>
      <c r="J39" s="13">
        <v>1</v>
      </c>
      <c r="K39" s="12" t="s">
        <v>22</v>
      </c>
      <c r="L39" s="13">
        <v>0</v>
      </c>
      <c r="M39" s="13">
        <v>0</v>
      </c>
      <c r="N39" s="13">
        <f t="shared" si="3"/>
        <v>0</v>
      </c>
      <c r="O39" s="12"/>
      <c r="P39" s="15" t="s">
        <v>197</v>
      </c>
      <c r="Q39" s="15" t="s">
        <v>198</v>
      </c>
      <c r="R39" s="15"/>
      <c r="S39" s="13">
        <v>0</v>
      </c>
      <c r="T39" s="12" t="s">
        <v>59</v>
      </c>
    </row>
    <row r="40" spans="1:20" ht="30" customHeight="1">
      <c r="A40" s="13">
        <v>36</v>
      </c>
      <c r="B40" s="12" t="s">
        <v>199</v>
      </c>
      <c r="C40" s="12" t="s">
        <v>200</v>
      </c>
      <c r="D40" s="12" t="s">
        <v>201</v>
      </c>
      <c r="E40" s="12" t="s">
        <v>7</v>
      </c>
      <c r="F40" s="12" t="s">
        <v>22</v>
      </c>
      <c r="G40" s="14" t="s">
        <v>67</v>
      </c>
      <c r="H40" s="14" t="str">
        <f t="shared" si="2"/>
        <v>Rare</v>
      </c>
      <c r="I40" s="13">
        <v>2</v>
      </c>
      <c r="J40" s="13">
        <v>1</v>
      </c>
      <c r="K40" s="12" t="s">
        <v>22</v>
      </c>
      <c r="L40" s="13">
        <v>0</v>
      </c>
      <c r="M40" s="13">
        <v>0</v>
      </c>
      <c r="N40" s="13">
        <f t="shared" si="3"/>
        <v>0</v>
      </c>
      <c r="O40" s="12"/>
      <c r="P40" s="15" t="s">
        <v>202</v>
      </c>
      <c r="Q40" s="15" t="s">
        <v>79</v>
      </c>
      <c r="R40" s="15"/>
      <c r="S40" s="13">
        <v>0</v>
      </c>
      <c r="T40" s="12" t="s">
        <v>59</v>
      </c>
    </row>
    <row r="41" spans="1:20" ht="30" customHeight="1">
      <c r="A41" s="13">
        <v>37</v>
      </c>
      <c r="B41" s="12" t="s">
        <v>203</v>
      </c>
      <c r="C41" s="12" t="s">
        <v>204</v>
      </c>
      <c r="D41" s="12"/>
      <c r="E41" s="12" t="s">
        <v>7</v>
      </c>
      <c r="F41" s="12" t="s">
        <v>22</v>
      </c>
      <c r="G41" s="14" t="s">
        <v>67</v>
      </c>
      <c r="H41" s="14" t="str">
        <f t="shared" si="2"/>
        <v>Rare</v>
      </c>
      <c r="I41" s="13">
        <v>1</v>
      </c>
      <c r="J41" s="13">
        <v>1</v>
      </c>
      <c r="K41" s="12" t="s">
        <v>22</v>
      </c>
      <c r="L41" s="13">
        <v>0</v>
      </c>
      <c r="M41" s="13">
        <v>0</v>
      </c>
      <c r="N41" s="13">
        <f t="shared" si="3"/>
        <v>0</v>
      </c>
      <c r="O41" s="12"/>
      <c r="P41" s="15" t="s">
        <v>205</v>
      </c>
      <c r="Q41" s="15" t="s">
        <v>206</v>
      </c>
      <c r="R41" s="15"/>
      <c r="S41" s="13">
        <v>0</v>
      </c>
      <c r="T41" s="12" t="s">
        <v>59</v>
      </c>
    </row>
    <row r="42" spans="1:20" ht="30" customHeight="1">
      <c r="A42" s="13">
        <v>38</v>
      </c>
      <c r="B42" s="12" t="s">
        <v>207</v>
      </c>
      <c r="C42" s="12" t="s">
        <v>208</v>
      </c>
      <c r="D42" s="12"/>
      <c r="E42" s="12" t="s">
        <v>7</v>
      </c>
      <c r="F42" s="12" t="s">
        <v>30</v>
      </c>
      <c r="G42" s="14" t="s">
        <v>58</v>
      </c>
      <c r="H42" s="14" t="str">
        <f t="shared" si="2"/>
        <v>Common</v>
      </c>
      <c r="I42" s="13">
        <v>1</v>
      </c>
      <c r="J42" s="13">
        <v>1</v>
      </c>
      <c r="K42" s="12" t="s">
        <v>30</v>
      </c>
      <c r="L42" s="13">
        <v>0</v>
      </c>
      <c r="M42" s="13">
        <v>0</v>
      </c>
      <c r="N42" s="13">
        <f t="shared" si="3"/>
        <v>0</v>
      </c>
      <c r="O42" s="12"/>
      <c r="P42" s="15" t="s">
        <v>209</v>
      </c>
      <c r="Q42" s="15" t="s">
        <v>79</v>
      </c>
      <c r="R42" s="15" t="s">
        <v>31</v>
      </c>
      <c r="S42" s="13">
        <v>3</v>
      </c>
      <c r="T42" s="12" t="s">
        <v>59</v>
      </c>
    </row>
    <row r="43" spans="1:20" ht="30" customHeight="1">
      <c r="A43" s="13">
        <v>39</v>
      </c>
      <c r="B43" s="12" t="s">
        <v>210</v>
      </c>
      <c r="C43" s="12" t="s">
        <v>211</v>
      </c>
      <c r="D43" s="12"/>
      <c r="E43" s="12" t="s">
        <v>7</v>
      </c>
      <c r="F43" s="12" t="s">
        <v>28</v>
      </c>
      <c r="G43" s="14" t="s">
        <v>58</v>
      </c>
      <c r="H43" s="14" t="str">
        <f t="shared" si="2"/>
        <v>Common</v>
      </c>
      <c r="I43" s="13">
        <v>1</v>
      </c>
      <c r="J43" s="13">
        <v>2</v>
      </c>
      <c r="K43" s="12" t="s">
        <v>28</v>
      </c>
      <c r="L43" s="13">
        <v>0</v>
      </c>
      <c r="M43" s="13">
        <v>0</v>
      </c>
      <c r="N43" s="13">
        <f t="shared" si="3"/>
        <v>0</v>
      </c>
      <c r="O43" s="12"/>
      <c r="P43" s="15" t="s">
        <v>212</v>
      </c>
      <c r="Q43" s="15" t="s">
        <v>213</v>
      </c>
      <c r="R43" s="15" t="s">
        <v>29</v>
      </c>
      <c r="S43" s="13">
        <v>3</v>
      </c>
      <c r="T43" s="12" t="s">
        <v>59</v>
      </c>
    </row>
    <row r="44" spans="1:20" ht="30" customHeight="1">
      <c r="A44" s="13">
        <v>40</v>
      </c>
      <c r="B44" s="12" t="s">
        <v>214</v>
      </c>
      <c r="C44" s="12" t="s">
        <v>215</v>
      </c>
      <c r="D44" s="12"/>
      <c r="E44" s="12" t="s">
        <v>7</v>
      </c>
      <c r="F44" s="12" t="s">
        <v>30</v>
      </c>
      <c r="G44" s="14" t="s">
        <v>67</v>
      </c>
      <c r="H44" s="14" t="str">
        <f t="shared" si="2"/>
        <v>Rare</v>
      </c>
      <c r="I44" s="13">
        <v>1</v>
      </c>
      <c r="J44" s="13">
        <v>1</v>
      </c>
      <c r="K44" s="12" t="s">
        <v>30</v>
      </c>
      <c r="L44" s="13">
        <v>0</v>
      </c>
      <c r="M44" s="13">
        <v>0</v>
      </c>
      <c r="N44" s="13">
        <f t="shared" si="3"/>
        <v>0</v>
      </c>
      <c r="O44" s="12" t="s">
        <v>216</v>
      </c>
      <c r="P44" s="15" t="s">
        <v>217</v>
      </c>
      <c r="Q44" s="15" t="s">
        <v>218</v>
      </c>
      <c r="R44" s="15" t="s">
        <v>31</v>
      </c>
      <c r="S44" s="13">
        <v>1</v>
      </c>
      <c r="T44" s="12" t="s">
        <v>59</v>
      </c>
    </row>
    <row r="45" spans="1:20" ht="45" customHeight="1">
      <c r="A45" s="13">
        <v>41</v>
      </c>
      <c r="B45" s="12" t="s">
        <v>219</v>
      </c>
      <c r="C45" s="12" t="s">
        <v>220</v>
      </c>
      <c r="D45" s="12"/>
      <c r="E45" s="12" t="s">
        <v>7</v>
      </c>
      <c r="F45" s="12" t="s">
        <v>22</v>
      </c>
      <c r="G45" s="14" t="s">
        <v>67</v>
      </c>
      <c r="H45" s="14" t="str">
        <f t="shared" si="2"/>
        <v>Rare</v>
      </c>
      <c r="I45" s="13">
        <v>1</v>
      </c>
      <c r="J45" s="13">
        <v>1</v>
      </c>
      <c r="K45" s="12" t="s">
        <v>22</v>
      </c>
      <c r="L45" s="13">
        <v>0</v>
      </c>
      <c r="M45" s="13">
        <v>0</v>
      </c>
      <c r="N45" s="13">
        <f t="shared" si="3"/>
        <v>0</v>
      </c>
      <c r="O45" s="12" t="s">
        <v>216</v>
      </c>
      <c r="P45" s="15" t="s">
        <v>221</v>
      </c>
      <c r="Q45" s="15" t="s">
        <v>218</v>
      </c>
      <c r="R45" s="15"/>
      <c r="S45" s="13">
        <v>0</v>
      </c>
      <c r="T45" s="12" t="s">
        <v>59</v>
      </c>
    </row>
    <row r="46" spans="1:20" ht="30" customHeight="1">
      <c r="A46" s="13">
        <v>42</v>
      </c>
      <c r="B46" s="12" t="s">
        <v>222</v>
      </c>
      <c r="C46" s="12" t="s">
        <v>223</v>
      </c>
      <c r="D46" s="12"/>
      <c r="E46" s="12" t="s">
        <v>7</v>
      </c>
      <c r="F46" s="12" t="s">
        <v>30</v>
      </c>
      <c r="G46" s="14" t="s">
        <v>67</v>
      </c>
      <c r="H46" s="14" t="str">
        <f t="shared" si="2"/>
        <v>Rare</v>
      </c>
      <c r="I46" s="13">
        <v>1</v>
      </c>
      <c r="J46" s="13">
        <v>1</v>
      </c>
      <c r="K46" s="12" t="s">
        <v>30</v>
      </c>
      <c r="L46" s="13">
        <v>0</v>
      </c>
      <c r="M46" s="13">
        <v>0</v>
      </c>
      <c r="N46" s="13">
        <f t="shared" si="3"/>
        <v>0</v>
      </c>
      <c r="O46" s="12" t="s">
        <v>216</v>
      </c>
      <c r="P46" s="15" t="s">
        <v>224</v>
      </c>
      <c r="Q46" s="15" t="s">
        <v>218</v>
      </c>
      <c r="R46" s="15" t="s">
        <v>31</v>
      </c>
      <c r="S46" s="13">
        <v>1</v>
      </c>
      <c r="T46" s="12" t="s">
        <v>59</v>
      </c>
    </row>
    <row r="47" spans="1:20" ht="45" customHeight="1">
      <c r="A47" s="13">
        <v>43</v>
      </c>
      <c r="B47" s="12" t="s">
        <v>225</v>
      </c>
      <c r="C47" s="12" t="s">
        <v>226</v>
      </c>
      <c r="D47" s="12"/>
      <c r="E47" s="12" t="s">
        <v>7</v>
      </c>
      <c r="F47" s="12" t="s">
        <v>26</v>
      </c>
      <c r="G47" s="14" t="s">
        <v>67</v>
      </c>
      <c r="H47" s="14" t="str">
        <f t="shared" si="2"/>
        <v>Rare</v>
      </c>
      <c r="I47" s="13">
        <v>1</v>
      </c>
      <c r="J47" s="13">
        <v>1</v>
      </c>
      <c r="K47" s="12" t="s">
        <v>26</v>
      </c>
      <c r="L47" s="13">
        <v>0</v>
      </c>
      <c r="M47" s="13">
        <v>0</v>
      </c>
      <c r="N47" s="13">
        <f t="shared" si="3"/>
        <v>0</v>
      </c>
      <c r="O47" s="12" t="s">
        <v>216</v>
      </c>
      <c r="P47" s="15" t="s">
        <v>227</v>
      </c>
      <c r="Q47" s="15" t="s">
        <v>218</v>
      </c>
      <c r="R47" s="15"/>
      <c r="S47" s="13">
        <v>0</v>
      </c>
      <c r="T47" s="12" t="s">
        <v>59</v>
      </c>
    </row>
    <row r="48" spans="1:20" ht="60" customHeight="1">
      <c r="A48" s="13">
        <v>44</v>
      </c>
      <c r="B48" s="12" t="s">
        <v>228</v>
      </c>
      <c r="C48" s="12" t="s">
        <v>229</v>
      </c>
      <c r="D48" s="12"/>
      <c r="E48" s="12" t="s">
        <v>7</v>
      </c>
      <c r="F48" s="12" t="s">
        <v>28</v>
      </c>
      <c r="G48" s="14" t="s">
        <v>67</v>
      </c>
      <c r="H48" s="14" t="str">
        <f t="shared" si="2"/>
        <v>Rare</v>
      </c>
      <c r="I48" s="13">
        <v>1</v>
      </c>
      <c r="J48" s="13">
        <v>1</v>
      </c>
      <c r="K48" s="12" t="s">
        <v>28</v>
      </c>
      <c r="L48" s="13">
        <v>0</v>
      </c>
      <c r="M48" s="13">
        <v>0</v>
      </c>
      <c r="N48" s="13">
        <f t="shared" si="3"/>
        <v>0</v>
      </c>
      <c r="O48" s="12"/>
      <c r="P48" s="15" t="s">
        <v>230</v>
      </c>
      <c r="Q48" s="15" t="s">
        <v>231</v>
      </c>
      <c r="R48" s="15" t="s">
        <v>29</v>
      </c>
      <c r="S48" s="13">
        <v>3</v>
      </c>
      <c r="T48" s="12" t="s">
        <v>59</v>
      </c>
    </row>
    <row r="49" spans="1:20" ht="30" customHeight="1">
      <c r="A49" s="13">
        <v>45</v>
      </c>
      <c r="B49" s="12" t="s">
        <v>232</v>
      </c>
      <c r="C49" s="12" t="s">
        <v>233</v>
      </c>
      <c r="D49" s="12"/>
      <c r="E49" s="12" t="s">
        <v>7</v>
      </c>
      <c r="F49" s="12" t="s">
        <v>28</v>
      </c>
      <c r="G49" s="14" t="s">
        <v>58</v>
      </c>
      <c r="H49" s="14" t="str">
        <f t="shared" si="2"/>
        <v>Common</v>
      </c>
      <c r="I49" s="13">
        <v>2</v>
      </c>
      <c r="J49" s="13">
        <v>3</v>
      </c>
      <c r="K49" s="12" t="s">
        <v>28</v>
      </c>
      <c r="L49" s="13">
        <v>0</v>
      </c>
      <c r="M49" s="13">
        <v>0</v>
      </c>
      <c r="N49" s="13">
        <f t="shared" si="3"/>
        <v>0</v>
      </c>
      <c r="O49" s="12"/>
      <c r="P49" s="15"/>
      <c r="Q49" s="15"/>
      <c r="R49" s="15" t="s">
        <v>29</v>
      </c>
      <c r="S49" s="13">
        <v>3</v>
      </c>
      <c r="T49" s="12" t="s">
        <v>59</v>
      </c>
    </row>
    <row r="50" spans="1:20" ht="30" customHeight="1">
      <c r="A50" s="13">
        <v>46</v>
      </c>
      <c r="B50" s="12" t="s">
        <v>234</v>
      </c>
      <c r="C50" s="12" t="s">
        <v>235</v>
      </c>
      <c r="D50" s="12"/>
      <c r="E50" s="12" t="s">
        <v>7</v>
      </c>
      <c r="F50" s="12" t="s">
        <v>28</v>
      </c>
      <c r="G50" s="14" t="s">
        <v>58</v>
      </c>
      <c r="H50" s="14" t="str">
        <f t="shared" si="2"/>
        <v>Common</v>
      </c>
      <c r="I50" s="13">
        <v>1</v>
      </c>
      <c r="J50" s="13">
        <v>2</v>
      </c>
      <c r="K50" s="12" t="s">
        <v>28</v>
      </c>
      <c r="L50" s="13">
        <v>0</v>
      </c>
      <c r="M50" s="13">
        <v>0</v>
      </c>
      <c r="N50" s="13">
        <f t="shared" si="3"/>
        <v>0</v>
      </c>
      <c r="O50" s="12"/>
      <c r="P50" s="15" t="s">
        <v>236</v>
      </c>
      <c r="Q50" s="15" t="s">
        <v>79</v>
      </c>
      <c r="R50" s="15" t="s">
        <v>29</v>
      </c>
      <c r="S50" s="13">
        <v>3</v>
      </c>
      <c r="T50" s="12" t="s">
        <v>59</v>
      </c>
    </row>
    <row r="51" spans="1:20" ht="30" customHeight="1">
      <c r="A51" s="13">
        <v>47</v>
      </c>
      <c r="B51" s="12" t="s">
        <v>237</v>
      </c>
      <c r="C51" s="12" t="s">
        <v>238</v>
      </c>
      <c r="D51" s="12"/>
      <c r="E51" s="12" t="s">
        <v>7</v>
      </c>
      <c r="F51" s="12" t="s">
        <v>30</v>
      </c>
      <c r="G51" s="14" t="s">
        <v>58</v>
      </c>
      <c r="H51" s="14" t="str">
        <f t="shared" si="2"/>
        <v>Common</v>
      </c>
      <c r="I51" s="13">
        <v>2</v>
      </c>
      <c r="J51" s="13">
        <v>3</v>
      </c>
      <c r="K51" s="12" t="s">
        <v>30</v>
      </c>
      <c r="L51" s="13">
        <v>0</v>
      </c>
      <c r="M51" s="13">
        <v>0</v>
      </c>
      <c r="N51" s="13">
        <f t="shared" si="3"/>
        <v>0</v>
      </c>
      <c r="O51" s="12"/>
      <c r="P51" s="15"/>
      <c r="Q51" s="15"/>
      <c r="R51" s="15" t="s">
        <v>31</v>
      </c>
      <c r="S51" s="13">
        <v>3</v>
      </c>
      <c r="T51" s="12" t="s">
        <v>59</v>
      </c>
    </row>
    <row r="52" spans="1:20" ht="30" customHeight="1">
      <c r="A52" s="13">
        <v>48</v>
      </c>
      <c r="B52" s="12" t="s">
        <v>239</v>
      </c>
      <c r="C52" s="12" t="s">
        <v>240</v>
      </c>
      <c r="D52" s="12" t="s">
        <v>241</v>
      </c>
      <c r="E52" s="12" t="s">
        <v>7</v>
      </c>
      <c r="F52" s="12" t="s">
        <v>30</v>
      </c>
      <c r="G52" s="14" t="s">
        <v>58</v>
      </c>
      <c r="H52" s="14" t="str">
        <f t="shared" si="2"/>
        <v>Common</v>
      </c>
      <c r="I52" s="13">
        <v>1</v>
      </c>
      <c r="J52" s="13">
        <v>2</v>
      </c>
      <c r="K52" s="12" t="s">
        <v>30</v>
      </c>
      <c r="L52" s="13">
        <v>0</v>
      </c>
      <c r="M52" s="13">
        <v>0</v>
      </c>
      <c r="N52" s="13">
        <f t="shared" si="3"/>
        <v>0</v>
      </c>
      <c r="O52" s="12"/>
      <c r="P52" s="15" t="s">
        <v>242</v>
      </c>
      <c r="Q52" s="15" t="s">
        <v>69</v>
      </c>
      <c r="R52" s="15" t="s">
        <v>31</v>
      </c>
      <c r="S52" s="13">
        <v>3</v>
      </c>
      <c r="T52" s="12" t="s">
        <v>59</v>
      </c>
    </row>
    <row r="53" spans="1:20" ht="30" customHeight="1">
      <c r="A53" s="13">
        <v>49</v>
      </c>
      <c r="B53" s="12" t="s">
        <v>243</v>
      </c>
      <c r="C53" s="12" t="s">
        <v>244</v>
      </c>
      <c r="D53" s="12"/>
      <c r="E53" s="12" t="s">
        <v>7</v>
      </c>
      <c r="F53" s="12" t="s">
        <v>24</v>
      </c>
      <c r="G53" s="14" t="s">
        <v>58</v>
      </c>
      <c r="H53" s="14" t="str">
        <f t="shared" si="2"/>
        <v>Common</v>
      </c>
      <c r="I53" s="13">
        <v>1</v>
      </c>
      <c r="J53" s="13">
        <v>2</v>
      </c>
      <c r="K53" s="12" t="s">
        <v>24</v>
      </c>
      <c r="L53" s="13">
        <v>0</v>
      </c>
      <c r="M53" s="13">
        <v>0</v>
      </c>
      <c r="N53" s="13">
        <f t="shared" si="3"/>
        <v>0</v>
      </c>
      <c r="O53" s="12"/>
      <c r="P53" s="15" t="s">
        <v>245</v>
      </c>
      <c r="Q53" s="15" t="s">
        <v>198</v>
      </c>
      <c r="R53" s="15" t="s">
        <v>25</v>
      </c>
      <c r="S53" s="13">
        <v>3</v>
      </c>
      <c r="T53" s="12" t="s">
        <v>59</v>
      </c>
    </row>
    <row r="54" spans="1:20" ht="30" customHeight="1">
      <c r="A54" s="13">
        <v>50</v>
      </c>
      <c r="B54" s="12" t="s">
        <v>246</v>
      </c>
      <c r="C54" s="12" t="s">
        <v>247</v>
      </c>
      <c r="D54" s="12"/>
      <c r="E54" s="12" t="s">
        <v>7</v>
      </c>
      <c r="F54" s="12" t="s">
        <v>24</v>
      </c>
      <c r="G54" s="14" t="s">
        <v>58</v>
      </c>
      <c r="H54" s="14" t="str">
        <f t="shared" si="2"/>
        <v>Common</v>
      </c>
      <c r="I54" s="13">
        <v>1</v>
      </c>
      <c r="J54" s="13">
        <v>2</v>
      </c>
      <c r="K54" s="12" t="s">
        <v>24</v>
      </c>
      <c r="L54" s="13">
        <v>0</v>
      </c>
      <c r="M54" s="13">
        <v>0</v>
      </c>
      <c r="N54" s="13">
        <f t="shared" si="3"/>
        <v>0</v>
      </c>
      <c r="O54" s="12" t="s">
        <v>248</v>
      </c>
      <c r="P54" s="15" t="s">
        <v>249</v>
      </c>
      <c r="Q54" s="15"/>
      <c r="R54" s="15" t="s">
        <v>25</v>
      </c>
      <c r="S54" s="13">
        <v>3</v>
      </c>
      <c r="T54" s="12" t="s">
        <v>59</v>
      </c>
    </row>
    <row r="55" spans="1:20" ht="30" customHeight="1">
      <c r="A55" s="13">
        <v>51</v>
      </c>
      <c r="B55" s="12" t="s">
        <v>250</v>
      </c>
      <c r="C55" s="12" t="s">
        <v>251</v>
      </c>
      <c r="D55" s="12" t="s">
        <v>252</v>
      </c>
      <c r="E55" s="12" t="s">
        <v>7</v>
      </c>
      <c r="F55" s="12" t="s">
        <v>24</v>
      </c>
      <c r="G55" s="14" t="s">
        <v>58</v>
      </c>
      <c r="H55" s="14" t="str">
        <f t="shared" si="2"/>
        <v>Common</v>
      </c>
      <c r="I55" s="13">
        <v>2</v>
      </c>
      <c r="J55" s="13">
        <v>3</v>
      </c>
      <c r="K55" s="12" t="s">
        <v>24</v>
      </c>
      <c r="L55" s="13">
        <v>0</v>
      </c>
      <c r="M55" s="13">
        <v>0</v>
      </c>
      <c r="N55" s="13">
        <f t="shared" si="3"/>
        <v>0</v>
      </c>
      <c r="O55" s="12"/>
      <c r="P55" s="15"/>
      <c r="Q55" s="15"/>
      <c r="R55" s="15" t="s">
        <v>25</v>
      </c>
      <c r="S55" s="13">
        <v>3</v>
      </c>
      <c r="T55" s="12" t="s">
        <v>59</v>
      </c>
    </row>
    <row r="56" spans="1:20" ht="30" customHeight="1">
      <c r="A56" s="13">
        <v>52</v>
      </c>
      <c r="B56" s="12" t="s">
        <v>253</v>
      </c>
      <c r="C56" s="12" t="s">
        <v>254</v>
      </c>
      <c r="D56" s="12" t="s">
        <v>255</v>
      </c>
      <c r="E56" s="12" t="s">
        <v>7</v>
      </c>
      <c r="F56" s="12" t="s">
        <v>24</v>
      </c>
      <c r="G56" s="14" t="s">
        <v>58</v>
      </c>
      <c r="H56" s="14" t="str">
        <f t="shared" si="2"/>
        <v>Common</v>
      </c>
      <c r="I56" s="13">
        <v>1</v>
      </c>
      <c r="J56" s="13">
        <v>1</v>
      </c>
      <c r="K56" s="12" t="s">
        <v>24</v>
      </c>
      <c r="L56" s="13">
        <v>0</v>
      </c>
      <c r="M56" s="13">
        <v>0</v>
      </c>
      <c r="N56" s="13">
        <f t="shared" si="3"/>
        <v>0</v>
      </c>
      <c r="O56" s="12"/>
      <c r="P56" s="15" t="s">
        <v>256</v>
      </c>
      <c r="Q56" s="15" t="s">
        <v>79</v>
      </c>
      <c r="R56" s="15" t="s">
        <v>25</v>
      </c>
      <c r="S56" s="13">
        <v>1</v>
      </c>
      <c r="T56" s="12" t="s">
        <v>59</v>
      </c>
    </row>
    <row r="57" spans="1:20" ht="30" customHeight="1">
      <c r="A57" s="13">
        <v>53</v>
      </c>
      <c r="B57" s="12" t="s">
        <v>257</v>
      </c>
      <c r="C57" s="12" t="s">
        <v>258</v>
      </c>
      <c r="D57" s="12" t="s">
        <v>259</v>
      </c>
      <c r="E57" s="12" t="s">
        <v>7</v>
      </c>
      <c r="F57" s="12" t="s">
        <v>24</v>
      </c>
      <c r="G57" s="14" t="s">
        <v>67</v>
      </c>
      <c r="H57" s="14" t="str">
        <f t="shared" si="2"/>
        <v>Rare</v>
      </c>
      <c r="I57" s="13">
        <v>2</v>
      </c>
      <c r="J57" s="13">
        <v>1</v>
      </c>
      <c r="K57" s="12" t="s">
        <v>24</v>
      </c>
      <c r="L57" s="13">
        <v>0</v>
      </c>
      <c r="M57" s="13">
        <v>0</v>
      </c>
      <c r="N57" s="13">
        <f t="shared" si="3"/>
        <v>0</v>
      </c>
      <c r="O57" s="12"/>
      <c r="P57" s="15" t="s">
        <v>260</v>
      </c>
      <c r="Q57" s="15" t="s">
        <v>79</v>
      </c>
      <c r="R57" s="15" t="s">
        <v>25</v>
      </c>
      <c r="S57" s="13">
        <v>1</v>
      </c>
      <c r="T57" s="12" t="s">
        <v>59</v>
      </c>
    </row>
    <row r="58" spans="1:20" ht="30" customHeight="1">
      <c r="A58" s="13">
        <v>54</v>
      </c>
      <c r="B58" s="12" t="s">
        <v>261</v>
      </c>
      <c r="C58" s="12" t="s">
        <v>262</v>
      </c>
      <c r="D58" s="12" t="s">
        <v>263</v>
      </c>
      <c r="E58" s="12" t="s">
        <v>7</v>
      </c>
      <c r="F58" s="12" t="s">
        <v>24</v>
      </c>
      <c r="G58" s="14" t="s">
        <v>67</v>
      </c>
      <c r="H58" s="14" t="str">
        <f t="shared" si="2"/>
        <v>Rare</v>
      </c>
      <c r="I58" s="13">
        <v>2</v>
      </c>
      <c r="J58" s="13">
        <v>1</v>
      </c>
      <c r="K58" s="12" t="s">
        <v>24</v>
      </c>
      <c r="L58" s="13">
        <v>0</v>
      </c>
      <c r="M58" s="13">
        <v>0</v>
      </c>
      <c r="N58" s="13">
        <f t="shared" si="3"/>
        <v>0</v>
      </c>
      <c r="O58" s="12"/>
      <c r="P58" s="15" t="s">
        <v>264</v>
      </c>
      <c r="Q58" s="15" t="s">
        <v>79</v>
      </c>
      <c r="R58" s="15"/>
      <c r="S58" s="13">
        <v>0</v>
      </c>
      <c r="T58" s="12" t="s">
        <v>59</v>
      </c>
    </row>
    <row r="59" spans="1:20" ht="30" customHeight="1">
      <c r="A59" s="13">
        <v>55</v>
      </c>
      <c r="B59" s="12" t="s">
        <v>265</v>
      </c>
      <c r="C59" s="12" t="s">
        <v>266</v>
      </c>
      <c r="D59" s="12" t="s">
        <v>267</v>
      </c>
      <c r="E59" s="12" t="s">
        <v>7</v>
      </c>
      <c r="F59" s="12" t="s">
        <v>24</v>
      </c>
      <c r="G59" s="14" t="s">
        <v>58</v>
      </c>
      <c r="H59" s="14" t="str">
        <f t="shared" si="2"/>
        <v>Common</v>
      </c>
      <c r="I59" s="13">
        <v>2</v>
      </c>
      <c r="J59" s="13">
        <v>1</v>
      </c>
      <c r="K59" s="12" t="s">
        <v>24</v>
      </c>
      <c r="L59" s="13">
        <v>0</v>
      </c>
      <c r="M59" s="13">
        <v>0</v>
      </c>
      <c r="N59" s="13">
        <f t="shared" si="3"/>
        <v>0</v>
      </c>
      <c r="O59" s="12"/>
      <c r="P59" s="15" t="s">
        <v>268</v>
      </c>
      <c r="Q59" s="15" t="s">
        <v>79</v>
      </c>
      <c r="R59" s="15"/>
      <c r="S59" s="13">
        <v>0</v>
      </c>
      <c r="T59" s="12" t="s">
        <v>59</v>
      </c>
    </row>
    <row r="60" spans="1:20" ht="30" customHeight="1">
      <c r="A60" s="13">
        <v>56</v>
      </c>
      <c r="B60" s="12" t="s">
        <v>269</v>
      </c>
      <c r="C60" s="12" t="s">
        <v>270</v>
      </c>
      <c r="D60" s="12" t="s">
        <v>271</v>
      </c>
      <c r="E60" s="12" t="s">
        <v>7</v>
      </c>
      <c r="F60" s="12" t="s">
        <v>24</v>
      </c>
      <c r="G60" s="14" t="s">
        <v>67</v>
      </c>
      <c r="H60" s="14" t="str">
        <f t="shared" si="2"/>
        <v>Rare</v>
      </c>
      <c r="I60" s="13">
        <v>1</v>
      </c>
      <c r="J60" s="13">
        <v>2</v>
      </c>
      <c r="K60" s="12" t="s">
        <v>24</v>
      </c>
      <c r="L60" s="13">
        <v>0</v>
      </c>
      <c r="M60" s="13">
        <v>0</v>
      </c>
      <c r="N60" s="13">
        <f t="shared" si="3"/>
        <v>0</v>
      </c>
      <c r="O60" s="12"/>
      <c r="P60" s="15" t="s">
        <v>272</v>
      </c>
      <c r="Q60" s="15" t="s">
        <v>79</v>
      </c>
      <c r="R60" s="15"/>
      <c r="S60" s="13">
        <v>0</v>
      </c>
      <c r="T60" s="12" t="s">
        <v>59</v>
      </c>
    </row>
    <row r="61" spans="1:20" ht="30" customHeight="1">
      <c r="A61" s="13">
        <v>57</v>
      </c>
      <c r="B61" s="12" t="s">
        <v>273</v>
      </c>
      <c r="C61" s="12" t="s">
        <v>274</v>
      </c>
      <c r="D61" s="12"/>
      <c r="E61" s="12" t="s">
        <v>7</v>
      </c>
      <c r="F61" s="12" t="s">
        <v>26</v>
      </c>
      <c r="G61" s="14" t="s">
        <v>58</v>
      </c>
      <c r="H61" s="14" t="str">
        <f t="shared" si="2"/>
        <v>Common</v>
      </c>
      <c r="I61" s="13">
        <v>1</v>
      </c>
      <c r="J61" s="13">
        <v>2</v>
      </c>
      <c r="K61" s="12" t="s">
        <v>26</v>
      </c>
      <c r="L61" s="13">
        <v>0</v>
      </c>
      <c r="M61" s="13">
        <v>0</v>
      </c>
      <c r="N61" s="13">
        <f t="shared" si="3"/>
        <v>0</v>
      </c>
      <c r="O61" s="12"/>
      <c r="P61" s="15" t="s">
        <v>275</v>
      </c>
      <c r="Q61" s="15" t="s">
        <v>198</v>
      </c>
      <c r="R61" s="15" t="s">
        <v>27</v>
      </c>
      <c r="S61" s="13">
        <v>3</v>
      </c>
      <c r="T61" s="12" t="s">
        <v>59</v>
      </c>
    </row>
    <row r="62" spans="1:20" ht="30" customHeight="1">
      <c r="A62" s="13">
        <v>58</v>
      </c>
      <c r="B62" s="12" t="s">
        <v>276</v>
      </c>
      <c r="C62" s="12" t="s">
        <v>277</v>
      </c>
      <c r="D62" s="12"/>
      <c r="E62" s="12" t="s">
        <v>7</v>
      </c>
      <c r="F62" s="12" t="s">
        <v>26</v>
      </c>
      <c r="G62" s="14" t="s">
        <v>58</v>
      </c>
      <c r="H62" s="14" t="str">
        <f t="shared" si="2"/>
        <v>Common</v>
      </c>
      <c r="I62" s="13">
        <v>2</v>
      </c>
      <c r="J62" s="13">
        <v>3</v>
      </c>
      <c r="K62" s="12" t="s">
        <v>26</v>
      </c>
      <c r="L62" s="13">
        <v>0</v>
      </c>
      <c r="M62" s="13">
        <v>0</v>
      </c>
      <c r="N62" s="13">
        <f t="shared" si="3"/>
        <v>0</v>
      </c>
      <c r="O62" s="12"/>
      <c r="P62" s="15"/>
      <c r="Q62" s="15"/>
      <c r="R62" s="15" t="s">
        <v>27</v>
      </c>
      <c r="S62" s="13">
        <v>3</v>
      </c>
      <c r="T62" s="12" t="s">
        <v>59</v>
      </c>
    </row>
    <row r="63" spans="1:20" ht="30" customHeight="1">
      <c r="A63" s="13">
        <v>59</v>
      </c>
      <c r="B63" s="12" t="s">
        <v>278</v>
      </c>
      <c r="C63" s="12" t="s">
        <v>279</v>
      </c>
      <c r="D63" s="12"/>
      <c r="E63" s="12" t="s">
        <v>7</v>
      </c>
      <c r="F63" s="12" t="s">
        <v>26</v>
      </c>
      <c r="G63" s="14" t="s">
        <v>58</v>
      </c>
      <c r="H63" s="14" t="str">
        <f t="shared" si="2"/>
        <v>Common</v>
      </c>
      <c r="I63" s="13">
        <v>1</v>
      </c>
      <c r="J63" s="13">
        <v>1</v>
      </c>
      <c r="K63" s="12" t="s">
        <v>26</v>
      </c>
      <c r="L63" s="13">
        <v>0</v>
      </c>
      <c r="M63" s="13">
        <v>0</v>
      </c>
      <c r="N63" s="13">
        <f t="shared" si="3"/>
        <v>0</v>
      </c>
      <c r="O63" s="12"/>
      <c r="P63" s="15" t="s">
        <v>280</v>
      </c>
      <c r="Q63" s="15" t="s">
        <v>79</v>
      </c>
      <c r="R63" s="15" t="s">
        <v>27</v>
      </c>
      <c r="S63" s="13">
        <v>3</v>
      </c>
      <c r="T63" s="12" t="s">
        <v>59</v>
      </c>
    </row>
    <row r="64" spans="1:20" ht="30" customHeight="1">
      <c r="A64" s="13">
        <v>60</v>
      </c>
      <c r="B64" s="12" t="s">
        <v>281</v>
      </c>
      <c r="C64" s="12" t="s">
        <v>282</v>
      </c>
      <c r="D64" s="12"/>
      <c r="E64" s="12" t="s">
        <v>7</v>
      </c>
      <c r="F64" s="12" t="s">
        <v>26</v>
      </c>
      <c r="G64" s="14" t="s">
        <v>58</v>
      </c>
      <c r="H64" s="14" t="str">
        <f t="shared" si="2"/>
        <v>Common</v>
      </c>
      <c r="I64" s="13">
        <v>1</v>
      </c>
      <c r="J64" s="13">
        <v>1</v>
      </c>
      <c r="K64" s="12" t="s">
        <v>26</v>
      </c>
      <c r="L64" s="13">
        <v>0</v>
      </c>
      <c r="M64" s="13">
        <v>0</v>
      </c>
      <c r="N64" s="13">
        <f t="shared" si="3"/>
        <v>0</v>
      </c>
      <c r="O64" s="12"/>
      <c r="P64" s="15" t="s">
        <v>283</v>
      </c>
      <c r="Q64" s="15" t="s">
        <v>114</v>
      </c>
      <c r="R64" s="15" t="s">
        <v>27</v>
      </c>
      <c r="S64" s="13">
        <v>1</v>
      </c>
      <c r="T64" s="12" t="s">
        <v>59</v>
      </c>
    </row>
    <row r="65" spans="1:20" ht="30" customHeight="1">
      <c r="A65" s="13">
        <v>61</v>
      </c>
      <c r="B65" s="12" t="s">
        <v>284</v>
      </c>
      <c r="C65" s="12" t="s">
        <v>285</v>
      </c>
      <c r="D65" s="12" t="s">
        <v>286</v>
      </c>
      <c r="E65" s="12" t="s">
        <v>7</v>
      </c>
      <c r="F65" s="12" t="s">
        <v>26</v>
      </c>
      <c r="G65" s="14" t="s">
        <v>58</v>
      </c>
      <c r="H65" s="14" t="str">
        <f t="shared" si="2"/>
        <v>Common</v>
      </c>
      <c r="I65" s="13">
        <v>1</v>
      </c>
      <c r="J65" s="13">
        <v>2</v>
      </c>
      <c r="K65" s="12" t="s">
        <v>26</v>
      </c>
      <c r="L65" s="13">
        <v>0</v>
      </c>
      <c r="M65" s="13">
        <v>0</v>
      </c>
      <c r="N65" s="13">
        <f t="shared" si="3"/>
        <v>0</v>
      </c>
      <c r="O65" s="12" t="s">
        <v>287</v>
      </c>
      <c r="P65" s="15" t="s">
        <v>288</v>
      </c>
      <c r="Q65" s="15"/>
      <c r="R65" s="15" t="s">
        <v>27</v>
      </c>
      <c r="S65" s="13">
        <v>1</v>
      </c>
      <c r="T65" s="12" t="s">
        <v>59</v>
      </c>
    </row>
    <row r="66" spans="1:20" ht="30" customHeight="1">
      <c r="A66" s="13">
        <v>62</v>
      </c>
      <c r="B66" s="12" t="s">
        <v>289</v>
      </c>
      <c r="C66" s="12" t="s">
        <v>290</v>
      </c>
      <c r="D66" s="12"/>
      <c r="E66" s="12" t="s">
        <v>7</v>
      </c>
      <c r="F66" s="12" t="s">
        <v>26</v>
      </c>
      <c r="G66" s="14" t="s">
        <v>67</v>
      </c>
      <c r="H66" s="14" t="str">
        <f t="shared" si="2"/>
        <v>Rare</v>
      </c>
      <c r="I66" s="13">
        <v>1</v>
      </c>
      <c r="J66" s="13">
        <v>2</v>
      </c>
      <c r="K66" s="12" t="s">
        <v>26</v>
      </c>
      <c r="L66" s="13">
        <v>0</v>
      </c>
      <c r="M66" s="13">
        <v>0</v>
      </c>
      <c r="N66" s="13">
        <f t="shared" si="3"/>
        <v>0</v>
      </c>
      <c r="O66" s="12"/>
      <c r="P66" s="15" t="s">
        <v>291</v>
      </c>
      <c r="Q66" s="15" t="s">
        <v>79</v>
      </c>
      <c r="R66" s="15"/>
      <c r="S66" s="13">
        <v>0</v>
      </c>
      <c r="T66" s="12" t="s">
        <v>59</v>
      </c>
    </row>
    <row r="67" spans="1:20" ht="30" customHeight="1">
      <c r="A67" s="13">
        <v>63</v>
      </c>
      <c r="B67" s="12" t="s">
        <v>292</v>
      </c>
      <c r="C67" s="12" t="s">
        <v>293</v>
      </c>
      <c r="D67" s="12"/>
      <c r="E67" s="12" t="s">
        <v>7</v>
      </c>
      <c r="F67" s="12" t="s">
        <v>26</v>
      </c>
      <c r="G67" s="14" t="s">
        <v>67</v>
      </c>
      <c r="H67" s="14" t="str">
        <f t="shared" si="2"/>
        <v>Rare</v>
      </c>
      <c r="I67" s="13">
        <v>1</v>
      </c>
      <c r="J67" s="13">
        <v>2</v>
      </c>
      <c r="K67" s="12" t="s">
        <v>26</v>
      </c>
      <c r="L67" s="13">
        <v>0</v>
      </c>
      <c r="M67" s="13">
        <v>0</v>
      </c>
      <c r="N67" s="13">
        <f t="shared" si="3"/>
        <v>0</v>
      </c>
      <c r="O67" s="12"/>
      <c r="P67" s="15" t="s">
        <v>294</v>
      </c>
      <c r="Q67" s="15" t="s">
        <v>79</v>
      </c>
      <c r="R67" s="15"/>
      <c r="S67" s="13">
        <v>0</v>
      </c>
      <c r="T67" s="12" t="s">
        <v>59</v>
      </c>
    </row>
    <row r="68" spans="1:20" ht="30" customHeight="1">
      <c r="A68" s="13">
        <v>64</v>
      </c>
      <c r="B68" s="12" t="s">
        <v>295</v>
      </c>
      <c r="C68" s="12" t="s">
        <v>296</v>
      </c>
      <c r="D68" s="12"/>
      <c r="E68" s="12" t="s">
        <v>7</v>
      </c>
      <c r="F68" s="12" t="s">
        <v>26</v>
      </c>
      <c r="G68" s="14" t="s">
        <v>67</v>
      </c>
      <c r="H68" s="14" t="str">
        <f t="shared" si="2"/>
        <v>Rare</v>
      </c>
      <c r="I68" s="13">
        <v>1</v>
      </c>
      <c r="J68" s="13">
        <v>2</v>
      </c>
      <c r="K68" s="12" t="s">
        <v>26</v>
      </c>
      <c r="L68" s="13">
        <v>0</v>
      </c>
      <c r="M68" s="13">
        <v>0</v>
      </c>
      <c r="N68" s="13">
        <f t="shared" si="3"/>
        <v>0</v>
      </c>
      <c r="O68" s="12"/>
      <c r="P68" s="15" t="s">
        <v>297</v>
      </c>
      <c r="Q68" s="15" t="s">
        <v>79</v>
      </c>
      <c r="R68" s="15"/>
      <c r="S68" s="13">
        <v>0</v>
      </c>
      <c r="T68" s="12" t="s">
        <v>59</v>
      </c>
    </row>
    <row r="69" spans="1:20" ht="30" customHeight="1">
      <c r="A69" s="13">
        <v>65</v>
      </c>
      <c r="B69" s="12" t="s">
        <v>298</v>
      </c>
      <c r="C69" s="12" t="s">
        <v>299</v>
      </c>
      <c r="D69" s="12"/>
      <c r="E69" s="12" t="s">
        <v>13</v>
      </c>
      <c r="F69" s="12" t="s">
        <v>32</v>
      </c>
      <c r="G69" s="14" t="s">
        <v>58</v>
      </c>
      <c r="H69" s="14" t="str">
        <f t="shared" ref="H69:H100" si="4">IF(E69="Chef","Mythic",IF(G69="Yes","Rare",IF(OR(E69="Meal",E69="Spice",E69="Environment"),"Uncommon","Common")))</f>
        <v>Common</v>
      </c>
      <c r="I69" s="13"/>
      <c r="J69" s="13"/>
      <c r="K69" s="12"/>
      <c r="L69" s="13">
        <v>0</v>
      </c>
      <c r="M69" s="13">
        <v>1</v>
      </c>
      <c r="N69" s="13">
        <f t="shared" ref="N69:N100" si="5">IF(E69="Meal",L69,M69)</f>
        <v>1</v>
      </c>
      <c r="O69" s="12"/>
      <c r="P69" s="15" t="s">
        <v>300</v>
      </c>
      <c r="Q69" s="15" t="s">
        <v>301</v>
      </c>
      <c r="R69" s="15" t="s">
        <v>23</v>
      </c>
      <c r="S69" s="13">
        <v>1</v>
      </c>
      <c r="T69" s="12" t="s">
        <v>59</v>
      </c>
    </row>
    <row r="70" spans="1:20" ht="30" customHeight="1">
      <c r="A70" s="13">
        <v>66</v>
      </c>
      <c r="B70" s="12" t="s">
        <v>302</v>
      </c>
      <c r="C70" s="12" t="s">
        <v>303</v>
      </c>
      <c r="D70" s="12"/>
      <c r="E70" s="12" t="s">
        <v>13</v>
      </c>
      <c r="F70" s="12" t="s">
        <v>32</v>
      </c>
      <c r="G70" s="14" t="s">
        <v>58</v>
      </c>
      <c r="H70" s="14" t="str">
        <f t="shared" si="4"/>
        <v>Common</v>
      </c>
      <c r="I70" s="13"/>
      <c r="J70" s="13"/>
      <c r="K70" s="12"/>
      <c r="L70" s="13">
        <v>0</v>
      </c>
      <c r="M70" s="13">
        <v>1</v>
      </c>
      <c r="N70" s="13">
        <f t="shared" si="5"/>
        <v>1</v>
      </c>
      <c r="O70" s="12"/>
      <c r="P70" s="15" t="s">
        <v>304</v>
      </c>
      <c r="Q70" s="15" t="s">
        <v>301</v>
      </c>
      <c r="R70" s="15" t="s">
        <v>27</v>
      </c>
      <c r="S70" s="13">
        <v>1</v>
      </c>
      <c r="T70" s="12" t="s">
        <v>59</v>
      </c>
    </row>
    <row r="71" spans="1:20" ht="30" customHeight="1">
      <c r="A71" s="13">
        <v>67</v>
      </c>
      <c r="B71" s="12" t="s">
        <v>305</v>
      </c>
      <c r="C71" s="12" t="s">
        <v>306</v>
      </c>
      <c r="D71" s="12"/>
      <c r="E71" s="12" t="s">
        <v>13</v>
      </c>
      <c r="F71" s="12" t="s">
        <v>32</v>
      </c>
      <c r="G71" s="14" t="s">
        <v>58</v>
      </c>
      <c r="H71" s="14" t="str">
        <f t="shared" si="4"/>
        <v>Common</v>
      </c>
      <c r="I71" s="13"/>
      <c r="J71" s="13"/>
      <c r="K71" s="12"/>
      <c r="L71" s="13">
        <v>0</v>
      </c>
      <c r="M71" s="13">
        <v>1</v>
      </c>
      <c r="N71" s="13">
        <f t="shared" si="5"/>
        <v>1</v>
      </c>
      <c r="O71" s="12"/>
      <c r="P71" s="15" t="s">
        <v>307</v>
      </c>
      <c r="Q71" s="15" t="s">
        <v>301</v>
      </c>
      <c r="R71" s="15" t="s">
        <v>25</v>
      </c>
      <c r="S71" s="13">
        <v>1</v>
      </c>
      <c r="T71" s="12" t="s">
        <v>59</v>
      </c>
    </row>
    <row r="72" spans="1:20" ht="30" customHeight="1">
      <c r="A72" s="13">
        <v>68</v>
      </c>
      <c r="B72" s="12" t="s">
        <v>308</v>
      </c>
      <c r="C72" s="12" t="s">
        <v>309</v>
      </c>
      <c r="D72" s="12"/>
      <c r="E72" s="12" t="s">
        <v>13</v>
      </c>
      <c r="F72" s="12" t="s">
        <v>32</v>
      </c>
      <c r="G72" s="14" t="s">
        <v>58</v>
      </c>
      <c r="H72" s="14" t="str">
        <f t="shared" si="4"/>
        <v>Common</v>
      </c>
      <c r="I72" s="13"/>
      <c r="J72" s="13"/>
      <c r="K72" s="12"/>
      <c r="L72" s="13">
        <v>0</v>
      </c>
      <c r="M72" s="13">
        <v>1</v>
      </c>
      <c r="N72" s="13">
        <f t="shared" si="5"/>
        <v>1</v>
      </c>
      <c r="O72" s="12"/>
      <c r="P72" s="15" t="s">
        <v>310</v>
      </c>
      <c r="Q72" s="15" t="s">
        <v>301</v>
      </c>
      <c r="R72" s="15" t="s">
        <v>29</v>
      </c>
      <c r="S72" s="13">
        <v>1</v>
      </c>
      <c r="T72" s="12" t="s">
        <v>59</v>
      </c>
    </row>
    <row r="73" spans="1:20" ht="30" customHeight="1">
      <c r="A73" s="13">
        <v>69</v>
      </c>
      <c r="B73" s="12" t="s">
        <v>311</v>
      </c>
      <c r="C73" s="12" t="s">
        <v>312</v>
      </c>
      <c r="D73" s="12"/>
      <c r="E73" s="12" t="s">
        <v>13</v>
      </c>
      <c r="F73" s="12" t="s">
        <v>32</v>
      </c>
      <c r="G73" s="14" t="s">
        <v>58</v>
      </c>
      <c r="H73" s="14" t="str">
        <f t="shared" si="4"/>
        <v>Common</v>
      </c>
      <c r="I73" s="13"/>
      <c r="J73" s="13"/>
      <c r="K73" s="12"/>
      <c r="L73" s="13">
        <v>0</v>
      </c>
      <c r="M73" s="13">
        <v>1</v>
      </c>
      <c r="N73" s="13">
        <f t="shared" si="5"/>
        <v>1</v>
      </c>
      <c r="O73" s="12"/>
      <c r="P73" s="15" t="s">
        <v>313</v>
      </c>
      <c r="Q73" s="15" t="s">
        <v>301</v>
      </c>
      <c r="R73" s="15" t="s">
        <v>31</v>
      </c>
      <c r="S73" s="13">
        <v>1</v>
      </c>
      <c r="T73" s="12" t="s">
        <v>59</v>
      </c>
    </row>
    <row r="74" spans="1:20" ht="30" customHeight="1">
      <c r="A74" s="13">
        <v>70</v>
      </c>
      <c r="B74" s="12" t="s">
        <v>314</v>
      </c>
      <c r="C74" s="12" t="s">
        <v>315</v>
      </c>
      <c r="D74" s="12"/>
      <c r="E74" s="12" t="s">
        <v>13</v>
      </c>
      <c r="F74" s="12" t="s">
        <v>32</v>
      </c>
      <c r="G74" s="14" t="s">
        <v>58</v>
      </c>
      <c r="H74" s="14" t="str">
        <f t="shared" si="4"/>
        <v>Common</v>
      </c>
      <c r="I74" s="13"/>
      <c r="J74" s="13"/>
      <c r="K74" s="12"/>
      <c r="L74" s="13">
        <v>0</v>
      </c>
      <c r="M74" s="13">
        <v>2</v>
      </c>
      <c r="N74" s="13">
        <f t="shared" si="5"/>
        <v>2</v>
      </c>
      <c r="O74" s="12"/>
      <c r="P74" s="15" t="s">
        <v>316</v>
      </c>
      <c r="Q74" s="15" t="s">
        <v>301</v>
      </c>
      <c r="R74" s="15" t="s">
        <v>317</v>
      </c>
      <c r="S74" s="13">
        <v>13</v>
      </c>
      <c r="T74" s="12" t="s">
        <v>59</v>
      </c>
    </row>
    <row r="75" spans="1:20" ht="30" customHeight="1">
      <c r="A75" s="13">
        <v>71</v>
      </c>
      <c r="B75" s="12" t="s">
        <v>318</v>
      </c>
      <c r="C75" s="12" t="s">
        <v>319</v>
      </c>
      <c r="D75" s="12"/>
      <c r="E75" s="12" t="s">
        <v>13</v>
      </c>
      <c r="F75" s="12" t="s">
        <v>32</v>
      </c>
      <c r="G75" s="14" t="s">
        <v>58</v>
      </c>
      <c r="H75" s="14" t="str">
        <f t="shared" si="4"/>
        <v>Common</v>
      </c>
      <c r="I75" s="13"/>
      <c r="J75" s="13"/>
      <c r="K75" s="12"/>
      <c r="L75" s="13">
        <v>0</v>
      </c>
      <c r="M75" s="13">
        <v>0</v>
      </c>
      <c r="N75" s="13">
        <f t="shared" si="5"/>
        <v>0</v>
      </c>
      <c r="O75" s="12"/>
      <c r="P75" s="15" t="s">
        <v>320</v>
      </c>
      <c r="Q75" s="15" t="s">
        <v>301</v>
      </c>
      <c r="R75" s="15"/>
      <c r="S75" s="13">
        <v>0</v>
      </c>
      <c r="T75" s="12" t="s">
        <v>59</v>
      </c>
    </row>
    <row r="76" spans="1:20" ht="30" customHeight="1">
      <c r="A76" s="13">
        <v>72</v>
      </c>
      <c r="B76" s="12" t="s">
        <v>321</v>
      </c>
      <c r="C76" s="12" t="s">
        <v>322</v>
      </c>
      <c r="D76" s="12"/>
      <c r="E76" s="12" t="s">
        <v>13</v>
      </c>
      <c r="F76" s="12" t="s">
        <v>32</v>
      </c>
      <c r="G76" s="14" t="s">
        <v>58</v>
      </c>
      <c r="H76" s="14" t="str">
        <f t="shared" si="4"/>
        <v>Common</v>
      </c>
      <c r="I76" s="13"/>
      <c r="J76" s="13"/>
      <c r="K76" s="12"/>
      <c r="L76" s="13">
        <v>0</v>
      </c>
      <c r="M76" s="13">
        <v>0</v>
      </c>
      <c r="N76" s="13">
        <f t="shared" si="5"/>
        <v>0</v>
      </c>
      <c r="O76" s="12"/>
      <c r="P76" s="15" t="s">
        <v>323</v>
      </c>
      <c r="Q76" s="15" t="s">
        <v>301</v>
      </c>
      <c r="R76" s="15" t="s">
        <v>317</v>
      </c>
      <c r="S76" s="13">
        <v>8</v>
      </c>
      <c r="T76" s="12" t="s">
        <v>59</v>
      </c>
    </row>
    <row r="77" spans="1:20" ht="30" customHeight="1">
      <c r="A77" s="13">
        <v>73</v>
      </c>
      <c r="B77" s="12" t="s">
        <v>324</v>
      </c>
      <c r="C77" s="12" t="s">
        <v>325</v>
      </c>
      <c r="D77" s="12"/>
      <c r="E77" s="12" t="s">
        <v>13</v>
      </c>
      <c r="F77" s="12" t="s">
        <v>32</v>
      </c>
      <c r="G77" s="14" t="s">
        <v>58</v>
      </c>
      <c r="H77" s="14" t="str">
        <f t="shared" si="4"/>
        <v>Common</v>
      </c>
      <c r="I77" s="13"/>
      <c r="J77" s="13"/>
      <c r="K77" s="12"/>
      <c r="L77" s="13">
        <v>0</v>
      </c>
      <c r="M77" s="13">
        <v>0</v>
      </c>
      <c r="N77" s="13">
        <f t="shared" si="5"/>
        <v>0</v>
      </c>
      <c r="O77" s="12"/>
      <c r="P77" s="15" t="s">
        <v>326</v>
      </c>
      <c r="Q77" s="15" t="s">
        <v>301</v>
      </c>
      <c r="R77" s="15"/>
      <c r="S77" s="13">
        <v>0</v>
      </c>
      <c r="T77" s="12" t="s">
        <v>59</v>
      </c>
    </row>
    <row r="78" spans="1:20" ht="30" customHeight="1">
      <c r="A78" s="13">
        <v>74</v>
      </c>
      <c r="B78" s="12" t="s">
        <v>327</v>
      </c>
      <c r="C78" s="12" t="s">
        <v>328</v>
      </c>
      <c r="D78" s="12"/>
      <c r="E78" s="12" t="s">
        <v>13</v>
      </c>
      <c r="F78" s="12" t="s">
        <v>32</v>
      </c>
      <c r="G78" s="14" t="s">
        <v>58</v>
      </c>
      <c r="H78" s="14" t="str">
        <f t="shared" si="4"/>
        <v>Common</v>
      </c>
      <c r="I78" s="13"/>
      <c r="J78" s="13"/>
      <c r="K78" s="12"/>
      <c r="L78" s="13">
        <v>0</v>
      </c>
      <c r="M78" s="13">
        <v>0</v>
      </c>
      <c r="N78" s="13">
        <f t="shared" si="5"/>
        <v>0</v>
      </c>
      <c r="O78" s="12"/>
      <c r="P78" s="15" t="s">
        <v>329</v>
      </c>
      <c r="Q78" s="15" t="s">
        <v>301</v>
      </c>
      <c r="R78" s="15" t="s">
        <v>330</v>
      </c>
      <c r="S78" s="13">
        <v>4</v>
      </c>
      <c r="T78" s="12" t="s">
        <v>59</v>
      </c>
    </row>
    <row r="79" spans="1:20" ht="30" customHeight="1">
      <c r="A79" s="13">
        <v>75</v>
      </c>
      <c r="B79" s="12" t="s">
        <v>331</v>
      </c>
      <c r="C79" s="12" t="s">
        <v>332</v>
      </c>
      <c r="D79" s="12"/>
      <c r="E79" s="12" t="s">
        <v>13</v>
      </c>
      <c r="F79" s="12" t="s">
        <v>32</v>
      </c>
      <c r="G79" s="14" t="s">
        <v>58</v>
      </c>
      <c r="H79" s="14" t="str">
        <f t="shared" si="4"/>
        <v>Common</v>
      </c>
      <c r="I79" s="13"/>
      <c r="J79" s="13"/>
      <c r="K79" s="12"/>
      <c r="L79" s="13">
        <v>0</v>
      </c>
      <c r="M79" s="13">
        <v>0</v>
      </c>
      <c r="N79" s="13">
        <f t="shared" si="5"/>
        <v>0</v>
      </c>
      <c r="O79" s="12"/>
      <c r="P79" s="15" t="s">
        <v>333</v>
      </c>
      <c r="Q79" s="15" t="s">
        <v>301</v>
      </c>
      <c r="R79" s="15"/>
      <c r="S79" s="13">
        <v>0</v>
      </c>
      <c r="T79" s="12" t="s">
        <v>59</v>
      </c>
    </row>
    <row r="80" spans="1:20" ht="30" customHeight="1">
      <c r="A80" s="13">
        <v>76</v>
      </c>
      <c r="B80" s="12" t="s">
        <v>334</v>
      </c>
      <c r="C80" s="12" t="s">
        <v>335</v>
      </c>
      <c r="D80" s="12"/>
      <c r="E80" s="12" t="s">
        <v>13</v>
      </c>
      <c r="F80" s="12" t="s">
        <v>32</v>
      </c>
      <c r="G80" s="14" t="s">
        <v>58</v>
      </c>
      <c r="H80" s="14" t="str">
        <f t="shared" si="4"/>
        <v>Common</v>
      </c>
      <c r="I80" s="13"/>
      <c r="J80" s="13"/>
      <c r="K80" s="12"/>
      <c r="L80" s="13">
        <v>0</v>
      </c>
      <c r="M80" s="13">
        <v>0</v>
      </c>
      <c r="N80" s="13">
        <f t="shared" si="5"/>
        <v>0</v>
      </c>
      <c r="O80" s="12"/>
      <c r="P80" s="15" t="s">
        <v>336</v>
      </c>
      <c r="Q80" s="15" t="s">
        <v>301</v>
      </c>
      <c r="R80" s="15"/>
      <c r="S80" s="13">
        <v>0</v>
      </c>
      <c r="T80" s="12" t="s">
        <v>59</v>
      </c>
    </row>
    <row r="81" spans="1:20" ht="30" customHeight="1">
      <c r="A81" s="13">
        <v>77</v>
      </c>
      <c r="B81" s="12" t="s">
        <v>337</v>
      </c>
      <c r="C81" s="12" t="s">
        <v>338</v>
      </c>
      <c r="D81" s="12"/>
      <c r="E81" s="12" t="s">
        <v>13</v>
      </c>
      <c r="F81" s="12" t="s">
        <v>32</v>
      </c>
      <c r="G81" s="14" t="s">
        <v>58</v>
      </c>
      <c r="H81" s="14" t="str">
        <f t="shared" si="4"/>
        <v>Common</v>
      </c>
      <c r="I81" s="13"/>
      <c r="J81" s="13"/>
      <c r="K81" s="12"/>
      <c r="L81" s="13">
        <v>0</v>
      </c>
      <c r="M81" s="13">
        <v>2</v>
      </c>
      <c r="N81" s="13">
        <f t="shared" si="5"/>
        <v>2</v>
      </c>
      <c r="O81" s="12"/>
      <c r="P81" s="15" t="s">
        <v>339</v>
      </c>
      <c r="Q81" s="15" t="s">
        <v>301</v>
      </c>
      <c r="R81" s="15"/>
      <c r="S81" s="13">
        <v>0</v>
      </c>
      <c r="T81" s="12" t="s">
        <v>59</v>
      </c>
    </row>
    <row r="82" spans="1:20" ht="30" customHeight="1">
      <c r="A82" s="13">
        <v>78</v>
      </c>
      <c r="B82" s="12" t="s">
        <v>340</v>
      </c>
      <c r="C82" s="12" t="s">
        <v>341</v>
      </c>
      <c r="D82" s="12"/>
      <c r="E82" s="12" t="s">
        <v>13</v>
      </c>
      <c r="F82" s="12" t="s">
        <v>32</v>
      </c>
      <c r="G82" s="14" t="s">
        <v>58</v>
      </c>
      <c r="H82" s="14" t="str">
        <f t="shared" si="4"/>
        <v>Common</v>
      </c>
      <c r="I82" s="13"/>
      <c r="J82" s="13"/>
      <c r="K82" s="12"/>
      <c r="L82" s="13">
        <v>0</v>
      </c>
      <c r="M82" s="13">
        <v>0</v>
      </c>
      <c r="N82" s="13">
        <f t="shared" si="5"/>
        <v>0</v>
      </c>
      <c r="O82" s="12"/>
      <c r="P82" s="15" t="s">
        <v>342</v>
      </c>
      <c r="Q82" s="15" t="s">
        <v>301</v>
      </c>
      <c r="R82" s="15" t="s">
        <v>317</v>
      </c>
      <c r="S82" s="13">
        <v>15</v>
      </c>
      <c r="T82" s="12" t="s">
        <v>59</v>
      </c>
    </row>
    <row r="83" spans="1:20" ht="30" customHeight="1">
      <c r="A83" s="13">
        <v>79</v>
      </c>
      <c r="B83" s="12" t="s">
        <v>343</v>
      </c>
      <c r="C83" s="12" t="s">
        <v>344</v>
      </c>
      <c r="D83" s="12"/>
      <c r="E83" s="12" t="s">
        <v>15</v>
      </c>
      <c r="F83" s="12" t="s">
        <v>22</v>
      </c>
      <c r="G83" s="14" t="s">
        <v>58</v>
      </c>
      <c r="H83" s="14" t="str">
        <f t="shared" si="4"/>
        <v>Uncommon</v>
      </c>
      <c r="I83" s="13"/>
      <c r="J83" s="13"/>
      <c r="K83" s="12"/>
      <c r="L83" s="13">
        <v>0</v>
      </c>
      <c r="M83" s="13">
        <v>0</v>
      </c>
      <c r="N83" s="13">
        <f t="shared" si="5"/>
        <v>0</v>
      </c>
      <c r="O83" s="12"/>
      <c r="P83" s="15" t="s">
        <v>345</v>
      </c>
      <c r="Q83" s="15" t="s">
        <v>346</v>
      </c>
      <c r="R83" s="15"/>
      <c r="S83" s="13">
        <v>0</v>
      </c>
      <c r="T83" s="12" t="s">
        <v>59</v>
      </c>
    </row>
    <row r="84" spans="1:20" ht="30" customHeight="1">
      <c r="A84" s="13">
        <v>80</v>
      </c>
      <c r="B84" s="12" t="s">
        <v>347</v>
      </c>
      <c r="C84" s="12" t="s">
        <v>348</v>
      </c>
      <c r="D84" s="12"/>
      <c r="E84" s="12" t="s">
        <v>15</v>
      </c>
      <c r="F84" s="12" t="s">
        <v>24</v>
      </c>
      <c r="G84" s="14" t="s">
        <v>58</v>
      </c>
      <c r="H84" s="14" t="str">
        <f t="shared" si="4"/>
        <v>Uncommon</v>
      </c>
      <c r="I84" s="13"/>
      <c r="J84" s="13"/>
      <c r="K84" s="12"/>
      <c r="L84" s="13">
        <v>0</v>
      </c>
      <c r="M84" s="13">
        <v>0</v>
      </c>
      <c r="N84" s="13">
        <f t="shared" si="5"/>
        <v>0</v>
      </c>
      <c r="O84" s="12"/>
      <c r="P84" s="15" t="s">
        <v>349</v>
      </c>
      <c r="Q84" s="15" t="s">
        <v>350</v>
      </c>
      <c r="R84" s="15"/>
      <c r="S84" s="13">
        <v>0</v>
      </c>
      <c r="T84" s="12" t="s">
        <v>59</v>
      </c>
    </row>
    <row r="85" spans="1:20" ht="30" customHeight="1">
      <c r="A85" s="13">
        <v>81</v>
      </c>
      <c r="B85" s="12" t="s">
        <v>351</v>
      </c>
      <c r="C85" s="12" t="s">
        <v>352</v>
      </c>
      <c r="D85" s="12"/>
      <c r="E85" s="12" t="s">
        <v>15</v>
      </c>
      <c r="F85" s="12" t="s">
        <v>26</v>
      </c>
      <c r="G85" s="14" t="s">
        <v>58</v>
      </c>
      <c r="H85" s="14" t="str">
        <f t="shared" si="4"/>
        <v>Uncommon</v>
      </c>
      <c r="I85" s="13"/>
      <c r="J85" s="13"/>
      <c r="K85" s="12"/>
      <c r="L85" s="13">
        <v>0</v>
      </c>
      <c r="M85" s="13">
        <v>0</v>
      </c>
      <c r="N85" s="13">
        <f t="shared" si="5"/>
        <v>0</v>
      </c>
      <c r="O85" s="12"/>
      <c r="P85" s="15" t="s">
        <v>353</v>
      </c>
      <c r="Q85" s="15" t="s">
        <v>354</v>
      </c>
      <c r="R85" s="15"/>
      <c r="S85" s="13">
        <v>0</v>
      </c>
      <c r="T85" s="12" t="s">
        <v>59</v>
      </c>
    </row>
    <row r="86" spans="1:20" ht="30" customHeight="1">
      <c r="A86" s="13">
        <v>82</v>
      </c>
      <c r="B86" s="12" t="s">
        <v>355</v>
      </c>
      <c r="C86" s="12" t="s">
        <v>356</v>
      </c>
      <c r="D86" s="12"/>
      <c r="E86" s="12" t="s">
        <v>17</v>
      </c>
      <c r="F86" s="12" t="s">
        <v>22</v>
      </c>
      <c r="G86" s="14" t="s">
        <v>58</v>
      </c>
      <c r="H86" s="14" t="str">
        <f t="shared" si="4"/>
        <v>Uncommon</v>
      </c>
      <c r="I86" s="13"/>
      <c r="J86" s="13"/>
      <c r="K86" s="12"/>
      <c r="L86" s="13">
        <v>0</v>
      </c>
      <c r="M86" s="13">
        <v>0</v>
      </c>
      <c r="N86" s="13">
        <f t="shared" si="5"/>
        <v>0</v>
      </c>
      <c r="O86" s="12"/>
      <c r="P86" s="15" t="s">
        <v>357</v>
      </c>
      <c r="Q86" s="15" t="s">
        <v>358</v>
      </c>
      <c r="R86" s="15"/>
      <c r="S86" s="13">
        <v>0</v>
      </c>
      <c r="T86" s="12" t="s">
        <v>59</v>
      </c>
    </row>
    <row r="87" spans="1:20" ht="30" customHeight="1">
      <c r="A87" s="13">
        <v>83</v>
      </c>
      <c r="B87" s="12" t="s">
        <v>359</v>
      </c>
      <c r="C87" s="12" t="s">
        <v>360</v>
      </c>
      <c r="D87" s="12"/>
      <c r="E87" s="12" t="s">
        <v>17</v>
      </c>
      <c r="F87" s="12" t="s">
        <v>24</v>
      </c>
      <c r="G87" s="14" t="s">
        <v>58</v>
      </c>
      <c r="H87" s="14" t="str">
        <f t="shared" si="4"/>
        <v>Uncommon</v>
      </c>
      <c r="I87" s="13"/>
      <c r="J87" s="13"/>
      <c r="K87" s="12"/>
      <c r="L87" s="13">
        <v>0</v>
      </c>
      <c r="M87" s="13">
        <v>0</v>
      </c>
      <c r="N87" s="13">
        <f t="shared" si="5"/>
        <v>0</v>
      </c>
      <c r="O87" s="12"/>
      <c r="P87" s="15" t="s">
        <v>361</v>
      </c>
      <c r="Q87" s="15" t="s">
        <v>362</v>
      </c>
      <c r="R87" s="15"/>
      <c r="S87" s="13">
        <v>0</v>
      </c>
      <c r="T87" s="12" t="s">
        <v>59</v>
      </c>
    </row>
    <row r="88" spans="1:20" ht="30" customHeight="1">
      <c r="A88" s="13">
        <v>84</v>
      </c>
      <c r="B88" s="12" t="s">
        <v>363</v>
      </c>
      <c r="C88" s="12" t="s">
        <v>364</v>
      </c>
      <c r="D88" s="12"/>
      <c r="E88" s="12" t="s">
        <v>17</v>
      </c>
      <c r="F88" s="12" t="s">
        <v>26</v>
      </c>
      <c r="G88" s="14" t="s">
        <v>58</v>
      </c>
      <c r="H88" s="14" t="str">
        <f t="shared" si="4"/>
        <v>Uncommon</v>
      </c>
      <c r="I88" s="13"/>
      <c r="J88" s="13"/>
      <c r="K88" s="12"/>
      <c r="L88" s="13">
        <v>0</v>
      </c>
      <c r="M88" s="13">
        <v>0</v>
      </c>
      <c r="N88" s="13">
        <f t="shared" si="5"/>
        <v>0</v>
      </c>
      <c r="O88" s="12"/>
      <c r="P88" s="15" t="s">
        <v>365</v>
      </c>
      <c r="Q88" s="15" t="s">
        <v>366</v>
      </c>
      <c r="R88" s="15"/>
      <c r="S88" s="13">
        <v>0</v>
      </c>
      <c r="T88" s="12" t="s">
        <v>59</v>
      </c>
    </row>
    <row r="89" spans="1:20" ht="30" customHeight="1">
      <c r="A89" s="13">
        <v>85</v>
      </c>
      <c r="B89" s="12" t="s">
        <v>367</v>
      </c>
      <c r="C89" s="12" t="s">
        <v>368</v>
      </c>
      <c r="D89" s="12"/>
      <c r="E89" s="12" t="s">
        <v>18</v>
      </c>
      <c r="F89" s="12" t="s">
        <v>32</v>
      </c>
      <c r="G89" s="14" t="s">
        <v>58</v>
      </c>
      <c r="H89" s="14" t="str">
        <f t="shared" si="4"/>
        <v>Mythic</v>
      </c>
      <c r="I89" s="13"/>
      <c r="J89" s="13"/>
      <c r="K89" s="12"/>
      <c r="L89" s="13">
        <v>0</v>
      </c>
      <c r="M89" s="13">
        <v>0</v>
      </c>
      <c r="N89" s="13">
        <f t="shared" si="5"/>
        <v>0</v>
      </c>
      <c r="O89" s="12"/>
      <c r="P89" s="15" t="s">
        <v>369</v>
      </c>
      <c r="Q89" s="15" t="s">
        <v>301</v>
      </c>
      <c r="R89" s="15"/>
      <c r="S89" s="13">
        <v>0</v>
      </c>
      <c r="T89" s="12" t="s">
        <v>59</v>
      </c>
    </row>
    <row r="90" spans="1:20" ht="30" customHeight="1">
      <c r="A90" s="13">
        <v>86</v>
      </c>
      <c r="B90" s="12" t="s">
        <v>370</v>
      </c>
      <c r="C90" s="12" t="s">
        <v>371</v>
      </c>
      <c r="D90" s="12"/>
      <c r="E90" s="12" t="s">
        <v>18</v>
      </c>
      <c r="F90" s="12" t="s">
        <v>32</v>
      </c>
      <c r="G90" s="14" t="s">
        <v>58</v>
      </c>
      <c r="H90" s="14" t="str">
        <f t="shared" si="4"/>
        <v>Mythic</v>
      </c>
      <c r="I90" s="13"/>
      <c r="J90" s="13"/>
      <c r="K90" s="12"/>
      <c r="L90" s="13">
        <v>0</v>
      </c>
      <c r="M90" s="13">
        <v>0</v>
      </c>
      <c r="N90" s="13">
        <f t="shared" si="5"/>
        <v>0</v>
      </c>
      <c r="O90" s="12"/>
      <c r="P90" s="15" t="s">
        <v>372</v>
      </c>
      <c r="Q90" s="15" t="s">
        <v>301</v>
      </c>
      <c r="R90" s="15"/>
      <c r="S90" s="13">
        <v>0</v>
      </c>
      <c r="T90" s="12" t="s">
        <v>59</v>
      </c>
    </row>
    <row r="91" spans="1:20" ht="30" customHeight="1">
      <c r="A91" s="13">
        <v>87</v>
      </c>
      <c r="B91" s="12" t="s">
        <v>373</v>
      </c>
      <c r="C91" s="12" t="s">
        <v>374</v>
      </c>
      <c r="D91" s="12"/>
      <c r="E91" s="12" t="s">
        <v>18</v>
      </c>
      <c r="F91" s="12" t="s">
        <v>32</v>
      </c>
      <c r="G91" s="14" t="s">
        <v>58</v>
      </c>
      <c r="H91" s="14" t="str">
        <f t="shared" si="4"/>
        <v>Mythic</v>
      </c>
      <c r="I91" s="13"/>
      <c r="J91" s="13"/>
      <c r="K91" s="12"/>
      <c r="L91" s="13">
        <v>0</v>
      </c>
      <c r="M91" s="13">
        <v>0</v>
      </c>
      <c r="N91" s="13">
        <f t="shared" si="5"/>
        <v>0</v>
      </c>
      <c r="O91" s="12"/>
      <c r="P91" s="15" t="s">
        <v>375</v>
      </c>
      <c r="Q91" s="15" t="s">
        <v>301</v>
      </c>
      <c r="R91" s="15" t="s">
        <v>317</v>
      </c>
      <c r="S91" s="13">
        <v>10</v>
      </c>
      <c r="T91" s="12" t="s">
        <v>59</v>
      </c>
    </row>
    <row r="92" spans="1:20" ht="30" customHeight="1">
      <c r="A92" s="13">
        <v>88</v>
      </c>
      <c r="B92" s="12" t="s">
        <v>376</v>
      </c>
      <c r="C92" s="12" t="s">
        <v>377</v>
      </c>
      <c r="D92" s="12"/>
      <c r="E92" s="12" t="s">
        <v>18</v>
      </c>
      <c r="F92" s="12" t="s">
        <v>32</v>
      </c>
      <c r="G92" s="14" t="s">
        <v>58</v>
      </c>
      <c r="H92" s="14" t="str">
        <f t="shared" si="4"/>
        <v>Mythic</v>
      </c>
      <c r="I92" s="13"/>
      <c r="J92" s="13"/>
      <c r="K92" s="12"/>
      <c r="L92" s="13">
        <v>0</v>
      </c>
      <c r="M92" s="13">
        <v>0</v>
      </c>
      <c r="N92" s="13">
        <f t="shared" si="5"/>
        <v>0</v>
      </c>
      <c r="O92" s="12"/>
      <c r="P92" s="15" t="s">
        <v>378</v>
      </c>
      <c r="Q92" s="15" t="s">
        <v>301</v>
      </c>
      <c r="R92" s="15" t="s">
        <v>317</v>
      </c>
      <c r="S92" s="13">
        <v>13</v>
      </c>
      <c r="T92" s="12" t="s">
        <v>59</v>
      </c>
    </row>
  </sheetData>
  <mergeCells count="2">
    <mergeCell ref="A1:T1"/>
    <mergeCell ref="A2:T2"/>
  </mergeCells>
  <conditionalFormatting sqref="F5:F92">
    <cfRule type="containsText" dxfId="6" priority="1" operator="containsText" text="Spicy"/>
    <cfRule type="containsText" dxfId="5" priority="2" operator="containsText" text="Hearty"/>
    <cfRule type="containsText" dxfId="4" priority="3" operator="containsText" text="Sweet"/>
    <cfRule type="containsText" dxfId="3" priority="4" operator="containsText" text="Fresh"/>
    <cfRule type="containsText" dxfId="2" priority="5" operator="containsText" text="Funky"/>
  </conditionalFormatting>
  <conditionalFormatting sqref="H5:H92">
    <cfRule type="containsText" dxfId="1" priority="6" operator="containsText" text="Rare"/>
    <cfRule type="containsText" dxfId="0" priority="7" operator="containsText" text="Mythic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"/>
  <sheetViews>
    <sheetView showGridLines="0" workbookViewId="0">
      <selection activeCell="K21" sqref="K21"/>
    </sheetView>
  </sheetViews>
  <sheetFormatPr baseColWidth="10" defaultColWidth="8.83203125" defaultRowHeight="14"/>
  <cols>
    <col min="1" max="1" width="29" customWidth="1"/>
    <col min="2" max="2" width="20" customWidth="1"/>
    <col min="3" max="3" width="13" customWidth="1"/>
    <col min="4" max="4" width="31" customWidth="1"/>
    <col min="5" max="5" width="27" customWidth="1"/>
    <col min="6" max="6" width="13" customWidth="1"/>
    <col min="7" max="7" width="9" customWidth="1"/>
  </cols>
  <sheetData>
    <row r="1" spans="1:7" ht="32" customHeight="1">
      <c r="A1" s="30" t="s">
        <v>379</v>
      </c>
      <c r="B1" s="30"/>
      <c r="C1" s="30"/>
      <c r="D1" s="30"/>
      <c r="E1" s="30"/>
      <c r="F1" s="30"/>
      <c r="G1" s="30"/>
    </row>
    <row r="2" spans="1:7" ht="15">
      <c r="A2" s="31" t="s">
        <v>380</v>
      </c>
      <c r="B2" s="31"/>
      <c r="C2" s="31"/>
      <c r="D2" s="31"/>
      <c r="E2" s="31"/>
      <c r="F2" s="31"/>
      <c r="G2" s="31"/>
    </row>
    <row r="4" spans="1:7" ht="15">
      <c r="A4" s="10" t="s">
        <v>381</v>
      </c>
      <c r="B4" s="10" t="s">
        <v>382</v>
      </c>
      <c r="C4" s="10" t="s">
        <v>19</v>
      </c>
      <c r="D4" s="10" t="s">
        <v>38</v>
      </c>
      <c r="E4" s="10" t="s">
        <v>383</v>
      </c>
      <c r="F4" s="10" t="s">
        <v>4</v>
      </c>
      <c r="G4" s="10" t="s">
        <v>3</v>
      </c>
    </row>
    <row r="5" spans="1:7" ht="15">
      <c r="A5" s="12" t="s">
        <v>384</v>
      </c>
      <c r="B5" s="12" t="s">
        <v>23</v>
      </c>
      <c r="C5" s="12" t="s">
        <v>22</v>
      </c>
      <c r="D5" s="12" t="s">
        <v>55</v>
      </c>
      <c r="E5" s="12" t="s">
        <v>56</v>
      </c>
      <c r="F5" s="12" t="s">
        <v>10</v>
      </c>
      <c r="G5" s="13">
        <v>2</v>
      </c>
    </row>
    <row r="6" spans="1:7" ht="15">
      <c r="A6" s="12" t="s">
        <v>384</v>
      </c>
      <c r="B6" s="12" t="s">
        <v>23</v>
      </c>
      <c r="C6" s="12" t="s">
        <v>22</v>
      </c>
      <c r="D6" s="12" t="s">
        <v>60</v>
      </c>
      <c r="E6" s="12" t="s">
        <v>61</v>
      </c>
      <c r="F6" s="12" t="s">
        <v>10</v>
      </c>
      <c r="G6" s="13">
        <v>2</v>
      </c>
    </row>
    <row r="7" spans="1:7" ht="15">
      <c r="A7" s="12" t="s">
        <v>384</v>
      </c>
      <c r="B7" s="12" t="s">
        <v>23</v>
      </c>
      <c r="C7" s="12" t="s">
        <v>22</v>
      </c>
      <c r="D7" s="12" t="s">
        <v>74</v>
      </c>
      <c r="E7" s="12" t="s">
        <v>75</v>
      </c>
      <c r="F7" s="12" t="s">
        <v>10</v>
      </c>
      <c r="G7" s="13">
        <v>1</v>
      </c>
    </row>
    <row r="8" spans="1:7" ht="15">
      <c r="A8" s="12" t="s">
        <v>384</v>
      </c>
      <c r="B8" s="12" t="s">
        <v>23</v>
      </c>
      <c r="C8" s="12" t="s">
        <v>22</v>
      </c>
      <c r="D8" s="12" t="s">
        <v>173</v>
      </c>
      <c r="E8" s="12" t="s">
        <v>174</v>
      </c>
      <c r="F8" s="12" t="s">
        <v>7</v>
      </c>
      <c r="G8" s="13">
        <v>3</v>
      </c>
    </row>
    <row r="9" spans="1:7" ht="15">
      <c r="A9" s="12" t="s">
        <v>384</v>
      </c>
      <c r="B9" s="12" t="s">
        <v>23</v>
      </c>
      <c r="C9" s="12" t="s">
        <v>22</v>
      </c>
      <c r="D9" s="12" t="s">
        <v>176</v>
      </c>
      <c r="E9" s="12" t="s">
        <v>177</v>
      </c>
      <c r="F9" s="12" t="s">
        <v>7</v>
      </c>
      <c r="G9" s="13">
        <v>2</v>
      </c>
    </row>
    <row r="10" spans="1:7" ht="15">
      <c r="A10" s="12" t="s">
        <v>384</v>
      </c>
      <c r="B10" s="12" t="s">
        <v>23</v>
      </c>
      <c r="C10" s="12" t="s">
        <v>22</v>
      </c>
      <c r="D10" s="12" t="s">
        <v>178</v>
      </c>
      <c r="E10" s="12" t="s">
        <v>179</v>
      </c>
      <c r="F10" s="12" t="s">
        <v>7</v>
      </c>
      <c r="G10" s="13">
        <v>3</v>
      </c>
    </row>
    <row r="11" spans="1:7" ht="15">
      <c r="A11" s="12" t="s">
        <v>384</v>
      </c>
      <c r="B11" s="12" t="s">
        <v>23</v>
      </c>
      <c r="C11" s="12" t="s">
        <v>22</v>
      </c>
      <c r="D11" s="12" t="s">
        <v>182</v>
      </c>
      <c r="E11" s="12" t="s">
        <v>183</v>
      </c>
      <c r="F11" s="12" t="s">
        <v>7</v>
      </c>
      <c r="G11" s="13">
        <v>2</v>
      </c>
    </row>
    <row r="12" spans="1:7" ht="15">
      <c r="A12" s="12" t="s">
        <v>384</v>
      </c>
      <c r="B12" s="12" t="s">
        <v>23</v>
      </c>
      <c r="C12" s="12" t="s">
        <v>22</v>
      </c>
      <c r="D12" s="12" t="s">
        <v>186</v>
      </c>
      <c r="E12" s="12" t="s">
        <v>187</v>
      </c>
      <c r="F12" s="12" t="s">
        <v>7</v>
      </c>
      <c r="G12" s="13">
        <v>1</v>
      </c>
    </row>
    <row r="13" spans="1:7" ht="15">
      <c r="A13" s="12" t="s">
        <v>384</v>
      </c>
      <c r="B13" s="12" t="s">
        <v>23</v>
      </c>
      <c r="C13" s="12" t="s">
        <v>22</v>
      </c>
      <c r="D13" s="12" t="s">
        <v>298</v>
      </c>
      <c r="E13" s="12" t="s">
        <v>299</v>
      </c>
      <c r="F13" s="12" t="s">
        <v>13</v>
      </c>
      <c r="G13" s="13">
        <v>1</v>
      </c>
    </row>
    <row r="14" spans="1:7" ht="15">
      <c r="A14" s="12" t="s">
        <v>384</v>
      </c>
      <c r="B14" s="12" t="s">
        <v>23</v>
      </c>
      <c r="C14" s="12" t="s">
        <v>22</v>
      </c>
      <c r="D14" s="12" t="s">
        <v>314</v>
      </c>
      <c r="E14" s="12" t="s">
        <v>315</v>
      </c>
      <c r="F14" s="12" t="s">
        <v>13</v>
      </c>
      <c r="G14" s="13">
        <v>3</v>
      </c>
    </row>
    <row r="15" spans="1:7" ht="15">
      <c r="A15" s="12" t="s">
        <v>384</v>
      </c>
      <c r="B15" s="12" t="s">
        <v>23</v>
      </c>
      <c r="C15" s="12" t="s">
        <v>22</v>
      </c>
      <c r="D15" s="12" t="s">
        <v>321</v>
      </c>
      <c r="E15" s="12" t="s">
        <v>322</v>
      </c>
      <c r="F15" s="12" t="s">
        <v>13</v>
      </c>
      <c r="G15" s="13">
        <v>2</v>
      </c>
    </row>
    <row r="16" spans="1:7" ht="15">
      <c r="A16" s="12" t="s">
        <v>384</v>
      </c>
      <c r="B16" s="12" t="s">
        <v>23</v>
      </c>
      <c r="C16" s="12" t="s">
        <v>22</v>
      </c>
      <c r="D16" s="12" t="s">
        <v>340</v>
      </c>
      <c r="E16" s="12" t="s">
        <v>341</v>
      </c>
      <c r="F16" s="12" t="s">
        <v>13</v>
      </c>
      <c r="G16" s="13">
        <v>3</v>
      </c>
    </row>
    <row r="17" spans="1:7" ht="15">
      <c r="A17" s="12" t="s">
        <v>384</v>
      </c>
      <c r="B17" s="12" t="s">
        <v>23</v>
      </c>
      <c r="C17" s="12" t="s">
        <v>22</v>
      </c>
      <c r="D17" s="12" t="s">
        <v>373</v>
      </c>
      <c r="E17" s="12" t="s">
        <v>374</v>
      </c>
      <c r="F17" s="12" t="s">
        <v>18</v>
      </c>
      <c r="G17" s="13">
        <v>2</v>
      </c>
    </row>
    <row r="18" spans="1:7" ht="15">
      <c r="A18" s="12" t="s">
        <v>384</v>
      </c>
      <c r="B18" s="12" t="s">
        <v>23</v>
      </c>
      <c r="C18" s="12" t="s">
        <v>22</v>
      </c>
      <c r="D18" s="12" t="s">
        <v>376</v>
      </c>
      <c r="E18" s="12" t="s">
        <v>377</v>
      </c>
      <c r="F18" s="12" t="s">
        <v>18</v>
      </c>
      <c r="G18" s="13">
        <v>3</v>
      </c>
    </row>
    <row r="19" spans="1:7" ht="15">
      <c r="A19" s="12" t="s">
        <v>385</v>
      </c>
      <c r="B19" s="12" t="s">
        <v>25</v>
      </c>
      <c r="C19" s="12" t="s">
        <v>24</v>
      </c>
      <c r="D19" s="12" t="s">
        <v>80</v>
      </c>
      <c r="E19" s="12" t="s">
        <v>81</v>
      </c>
      <c r="F19" s="12" t="s">
        <v>10</v>
      </c>
      <c r="G19" s="13">
        <v>2</v>
      </c>
    </row>
    <row r="20" spans="1:7" ht="15">
      <c r="A20" s="12" t="s">
        <v>385</v>
      </c>
      <c r="B20" s="12" t="s">
        <v>25</v>
      </c>
      <c r="C20" s="12" t="s">
        <v>24</v>
      </c>
      <c r="D20" s="12" t="s">
        <v>82</v>
      </c>
      <c r="E20" s="12" t="s">
        <v>83</v>
      </c>
      <c r="F20" s="12" t="s">
        <v>10</v>
      </c>
      <c r="G20" s="13">
        <v>2</v>
      </c>
    </row>
    <row r="21" spans="1:7" ht="15">
      <c r="A21" s="12" t="s">
        <v>385</v>
      </c>
      <c r="B21" s="12" t="s">
        <v>25</v>
      </c>
      <c r="C21" s="12" t="s">
        <v>24</v>
      </c>
      <c r="D21" s="12" t="s">
        <v>98</v>
      </c>
      <c r="E21" s="12" t="s">
        <v>99</v>
      </c>
      <c r="F21" s="12" t="s">
        <v>10</v>
      </c>
      <c r="G21" s="13">
        <v>1</v>
      </c>
    </row>
    <row r="22" spans="1:7" ht="15">
      <c r="A22" s="12" t="s">
        <v>385</v>
      </c>
      <c r="B22" s="12" t="s">
        <v>25</v>
      </c>
      <c r="C22" s="12" t="s">
        <v>24</v>
      </c>
      <c r="D22" s="12" t="s">
        <v>243</v>
      </c>
      <c r="E22" s="12" t="s">
        <v>244</v>
      </c>
      <c r="F22" s="12" t="s">
        <v>7</v>
      </c>
      <c r="G22" s="13">
        <v>3</v>
      </c>
    </row>
    <row r="23" spans="1:7" ht="15">
      <c r="A23" s="12" t="s">
        <v>385</v>
      </c>
      <c r="B23" s="12" t="s">
        <v>25</v>
      </c>
      <c r="C23" s="12" t="s">
        <v>24</v>
      </c>
      <c r="D23" s="12" t="s">
        <v>246</v>
      </c>
      <c r="E23" s="12" t="s">
        <v>247</v>
      </c>
      <c r="F23" s="12" t="s">
        <v>7</v>
      </c>
      <c r="G23" s="13">
        <v>3</v>
      </c>
    </row>
    <row r="24" spans="1:7" ht="15">
      <c r="A24" s="12" t="s">
        <v>385</v>
      </c>
      <c r="B24" s="12" t="s">
        <v>25</v>
      </c>
      <c r="C24" s="12" t="s">
        <v>24</v>
      </c>
      <c r="D24" s="12" t="s">
        <v>250</v>
      </c>
      <c r="E24" s="12" t="s">
        <v>251</v>
      </c>
      <c r="F24" s="12" t="s">
        <v>7</v>
      </c>
      <c r="G24" s="13">
        <v>3</v>
      </c>
    </row>
    <row r="25" spans="1:7" ht="15">
      <c r="A25" s="12" t="s">
        <v>385</v>
      </c>
      <c r="B25" s="12" t="s">
        <v>25</v>
      </c>
      <c r="C25" s="12" t="s">
        <v>24</v>
      </c>
      <c r="D25" s="12" t="s">
        <v>253</v>
      </c>
      <c r="E25" s="12" t="s">
        <v>254</v>
      </c>
      <c r="F25" s="12" t="s">
        <v>7</v>
      </c>
      <c r="G25" s="13">
        <v>1</v>
      </c>
    </row>
    <row r="26" spans="1:7" ht="15">
      <c r="A26" s="12" t="s">
        <v>385</v>
      </c>
      <c r="B26" s="12" t="s">
        <v>25</v>
      </c>
      <c r="C26" s="12" t="s">
        <v>24</v>
      </c>
      <c r="D26" s="12" t="s">
        <v>257</v>
      </c>
      <c r="E26" s="12" t="s">
        <v>258</v>
      </c>
      <c r="F26" s="12" t="s">
        <v>7</v>
      </c>
      <c r="G26" s="13">
        <v>1</v>
      </c>
    </row>
    <row r="27" spans="1:7" ht="15">
      <c r="A27" s="12" t="s">
        <v>385</v>
      </c>
      <c r="B27" s="12" t="s">
        <v>25</v>
      </c>
      <c r="C27" s="12" t="s">
        <v>24</v>
      </c>
      <c r="D27" s="12" t="s">
        <v>305</v>
      </c>
      <c r="E27" s="12" t="s">
        <v>306</v>
      </c>
      <c r="F27" s="12" t="s">
        <v>13</v>
      </c>
      <c r="G27" s="13">
        <v>1</v>
      </c>
    </row>
    <row r="28" spans="1:7" ht="15">
      <c r="A28" s="12" t="s">
        <v>385</v>
      </c>
      <c r="B28" s="12" t="s">
        <v>25</v>
      </c>
      <c r="C28" s="12" t="s">
        <v>24</v>
      </c>
      <c r="D28" s="12" t="s">
        <v>314</v>
      </c>
      <c r="E28" s="12" t="s">
        <v>315</v>
      </c>
      <c r="F28" s="12" t="s">
        <v>13</v>
      </c>
      <c r="G28" s="13">
        <v>3</v>
      </c>
    </row>
    <row r="29" spans="1:7" ht="15">
      <c r="A29" s="12" t="s">
        <v>385</v>
      </c>
      <c r="B29" s="12" t="s">
        <v>25</v>
      </c>
      <c r="C29" s="12" t="s">
        <v>24</v>
      </c>
      <c r="D29" s="12" t="s">
        <v>321</v>
      </c>
      <c r="E29" s="12" t="s">
        <v>322</v>
      </c>
      <c r="F29" s="12" t="s">
        <v>13</v>
      </c>
      <c r="G29" s="13">
        <v>2</v>
      </c>
    </row>
    <row r="30" spans="1:7" ht="15">
      <c r="A30" s="12" t="s">
        <v>385</v>
      </c>
      <c r="B30" s="12" t="s">
        <v>25</v>
      </c>
      <c r="C30" s="12" t="s">
        <v>24</v>
      </c>
      <c r="D30" s="12" t="s">
        <v>340</v>
      </c>
      <c r="E30" s="12" t="s">
        <v>341</v>
      </c>
      <c r="F30" s="12" t="s">
        <v>13</v>
      </c>
      <c r="G30" s="13">
        <v>3</v>
      </c>
    </row>
    <row r="31" spans="1:7" ht="15">
      <c r="A31" s="12" t="s">
        <v>385</v>
      </c>
      <c r="B31" s="12" t="s">
        <v>25</v>
      </c>
      <c r="C31" s="12" t="s">
        <v>24</v>
      </c>
      <c r="D31" s="12" t="s">
        <v>373</v>
      </c>
      <c r="E31" s="12" t="s">
        <v>374</v>
      </c>
      <c r="F31" s="12" t="s">
        <v>18</v>
      </c>
      <c r="G31" s="13">
        <v>2</v>
      </c>
    </row>
    <row r="32" spans="1:7" ht="15">
      <c r="A32" s="12" t="s">
        <v>385</v>
      </c>
      <c r="B32" s="12" t="s">
        <v>25</v>
      </c>
      <c r="C32" s="12" t="s">
        <v>24</v>
      </c>
      <c r="D32" s="12" t="s">
        <v>376</v>
      </c>
      <c r="E32" s="12" t="s">
        <v>377</v>
      </c>
      <c r="F32" s="12" t="s">
        <v>18</v>
      </c>
      <c r="G32" s="13">
        <v>3</v>
      </c>
    </row>
    <row r="33" spans="1:7" ht="15">
      <c r="A33" s="12" t="s">
        <v>386</v>
      </c>
      <c r="B33" s="12" t="s">
        <v>27</v>
      </c>
      <c r="C33" s="12" t="s">
        <v>26</v>
      </c>
      <c r="D33" s="12" t="s">
        <v>103</v>
      </c>
      <c r="E33" s="12" t="s">
        <v>104</v>
      </c>
      <c r="F33" s="12" t="s">
        <v>10</v>
      </c>
      <c r="G33" s="13">
        <v>1</v>
      </c>
    </row>
    <row r="34" spans="1:7" ht="15">
      <c r="A34" s="12" t="s">
        <v>386</v>
      </c>
      <c r="B34" s="12" t="s">
        <v>27</v>
      </c>
      <c r="C34" s="12" t="s">
        <v>26</v>
      </c>
      <c r="D34" s="12" t="s">
        <v>105</v>
      </c>
      <c r="E34" s="12" t="s">
        <v>106</v>
      </c>
      <c r="F34" s="12" t="s">
        <v>10</v>
      </c>
      <c r="G34" s="13">
        <v>2</v>
      </c>
    </row>
    <row r="35" spans="1:7" ht="15">
      <c r="A35" s="12" t="s">
        <v>386</v>
      </c>
      <c r="B35" s="12" t="s">
        <v>27</v>
      </c>
      <c r="C35" s="12" t="s">
        <v>26</v>
      </c>
      <c r="D35" s="12" t="s">
        <v>119</v>
      </c>
      <c r="E35" s="12" t="s">
        <v>120</v>
      </c>
      <c r="F35" s="12" t="s">
        <v>10</v>
      </c>
      <c r="G35" s="13">
        <v>2</v>
      </c>
    </row>
    <row r="36" spans="1:7" ht="15">
      <c r="A36" s="12" t="s">
        <v>386</v>
      </c>
      <c r="B36" s="12" t="s">
        <v>27</v>
      </c>
      <c r="C36" s="12" t="s">
        <v>26</v>
      </c>
      <c r="D36" s="12" t="s">
        <v>273</v>
      </c>
      <c r="E36" s="12" t="s">
        <v>274</v>
      </c>
      <c r="F36" s="12" t="s">
        <v>7</v>
      </c>
      <c r="G36" s="13">
        <v>3</v>
      </c>
    </row>
    <row r="37" spans="1:7" ht="15">
      <c r="A37" s="12" t="s">
        <v>386</v>
      </c>
      <c r="B37" s="12" t="s">
        <v>27</v>
      </c>
      <c r="C37" s="12" t="s">
        <v>26</v>
      </c>
      <c r="D37" s="12" t="s">
        <v>276</v>
      </c>
      <c r="E37" s="12" t="s">
        <v>277</v>
      </c>
      <c r="F37" s="12" t="s">
        <v>7</v>
      </c>
      <c r="G37" s="13">
        <v>3</v>
      </c>
    </row>
    <row r="38" spans="1:7" ht="15">
      <c r="A38" s="12" t="s">
        <v>386</v>
      </c>
      <c r="B38" s="12" t="s">
        <v>27</v>
      </c>
      <c r="C38" s="12" t="s">
        <v>26</v>
      </c>
      <c r="D38" s="12" t="s">
        <v>278</v>
      </c>
      <c r="E38" s="12" t="s">
        <v>279</v>
      </c>
      <c r="F38" s="12" t="s">
        <v>7</v>
      </c>
      <c r="G38" s="13">
        <v>3</v>
      </c>
    </row>
    <row r="39" spans="1:7" ht="15">
      <c r="A39" s="12" t="s">
        <v>386</v>
      </c>
      <c r="B39" s="12" t="s">
        <v>27</v>
      </c>
      <c r="C39" s="12" t="s">
        <v>26</v>
      </c>
      <c r="D39" s="12" t="s">
        <v>281</v>
      </c>
      <c r="E39" s="12" t="s">
        <v>282</v>
      </c>
      <c r="F39" s="12" t="s">
        <v>7</v>
      </c>
      <c r="G39" s="13">
        <v>1</v>
      </c>
    </row>
    <row r="40" spans="1:7" ht="15">
      <c r="A40" s="12" t="s">
        <v>386</v>
      </c>
      <c r="B40" s="12" t="s">
        <v>27</v>
      </c>
      <c r="C40" s="12" t="s">
        <v>26</v>
      </c>
      <c r="D40" s="12" t="s">
        <v>284</v>
      </c>
      <c r="E40" s="12" t="s">
        <v>285</v>
      </c>
      <c r="F40" s="12" t="s">
        <v>7</v>
      </c>
      <c r="G40" s="13">
        <v>1</v>
      </c>
    </row>
    <row r="41" spans="1:7" ht="15">
      <c r="A41" s="12" t="s">
        <v>386</v>
      </c>
      <c r="B41" s="12" t="s">
        <v>27</v>
      </c>
      <c r="C41" s="12" t="s">
        <v>26</v>
      </c>
      <c r="D41" s="12" t="s">
        <v>302</v>
      </c>
      <c r="E41" s="12" t="s">
        <v>303</v>
      </c>
      <c r="F41" s="12" t="s">
        <v>13</v>
      </c>
      <c r="G41" s="13">
        <v>1</v>
      </c>
    </row>
    <row r="42" spans="1:7" ht="15">
      <c r="A42" s="12" t="s">
        <v>386</v>
      </c>
      <c r="B42" s="12" t="s">
        <v>27</v>
      </c>
      <c r="C42" s="12" t="s">
        <v>26</v>
      </c>
      <c r="D42" s="12" t="s">
        <v>314</v>
      </c>
      <c r="E42" s="12" t="s">
        <v>315</v>
      </c>
      <c r="F42" s="12" t="s">
        <v>13</v>
      </c>
      <c r="G42" s="13">
        <v>3</v>
      </c>
    </row>
    <row r="43" spans="1:7" ht="15">
      <c r="A43" s="12" t="s">
        <v>386</v>
      </c>
      <c r="B43" s="12" t="s">
        <v>27</v>
      </c>
      <c r="C43" s="12" t="s">
        <v>26</v>
      </c>
      <c r="D43" s="12" t="s">
        <v>321</v>
      </c>
      <c r="E43" s="12" t="s">
        <v>322</v>
      </c>
      <c r="F43" s="12" t="s">
        <v>13</v>
      </c>
      <c r="G43" s="13">
        <v>2</v>
      </c>
    </row>
    <row r="44" spans="1:7" ht="15">
      <c r="A44" s="12" t="s">
        <v>386</v>
      </c>
      <c r="B44" s="12" t="s">
        <v>27</v>
      </c>
      <c r="C44" s="12" t="s">
        <v>26</v>
      </c>
      <c r="D44" s="12" t="s">
        <v>340</v>
      </c>
      <c r="E44" s="12" t="s">
        <v>341</v>
      </c>
      <c r="F44" s="12" t="s">
        <v>13</v>
      </c>
      <c r="G44" s="13">
        <v>3</v>
      </c>
    </row>
    <row r="45" spans="1:7" ht="15">
      <c r="A45" s="12" t="s">
        <v>386</v>
      </c>
      <c r="B45" s="12" t="s">
        <v>27</v>
      </c>
      <c r="C45" s="12" t="s">
        <v>26</v>
      </c>
      <c r="D45" s="12" t="s">
        <v>373</v>
      </c>
      <c r="E45" s="12" t="s">
        <v>374</v>
      </c>
      <c r="F45" s="12" t="s">
        <v>18</v>
      </c>
      <c r="G45" s="13">
        <v>2</v>
      </c>
    </row>
    <row r="46" spans="1:7" ht="15">
      <c r="A46" s="12" t="s">
        <v>386</v>
      </c>
      <c r="B46" s="12" t="s">
        <v>27</v>
      </c>
      <c r="C46" s="12" t="s">
        <v>26</v>
      </c>
      <c r="D46" s="12" t="s">
        <v>376</v>
      </c>
      <c r="E46" s="12" t="s">
        <v>377</v>
      </c>
      <c r="F46" s="12" t="s">
        <v>18</v>
      </c>
      <c r="G46" s="13">
        <v>3</v>
      </c>
    </row>
    <row r="47" spans="1:7" ht="15">
      <c r="A47" s="12" t="s">
        <v>387</v>
      </c>
      <c r="B47" s="12" t="s">
        <v>29</v>
      </c>
      <c r="C47" s="12" t="s">
        <v>28</v>
      </c>
      <c r="D47" s="12" t="s">
        <v>131</v>
      </c>
      <c r="E47" s="12" t="s">
        <v>132</v>
      </c>
      <c r="F47" s="12" t="s">
        <v>10</v>
      </c>
      <c r="G47" s="13">
        <v>1</v>
      </c>
    </row>
    <row r="48" spans="1:7" ht="15">
      <c r="A48" s="12" t="s">
        <v>387</v>
      </c>
      <c r="B48" s="12" t="s">
        <v>29</v>
      </c>
      <c r="C48" s="12" t="s">
        <v>28</v>
      </c>
      <c r="D48" s="12" t="s">
        <v>135</v>
      </c>
      <c r="E48" s="12" t="s">
        <v>136</v>
      </c>
      <c r="F48" s="12" t="s">
        <v>10</v>
      </c>
      <c r="G48" s="13">
        <v>2</v>
      </c>
    </row>
    <row r="49" spans="1:7" ht="15">
      <c r="A49" s="12" t="s">
        <v>387</v>
      </c>
      <c r="B49" s="12" t="s">
        <v>29</v>
      </c>
      <c r="C49" s="12" t="s">
        <v>28</v>
      </c>
      <c r="D49" s="12" t="s">
        <v>140</v>
      </c>
      <c r="E49" s="12" t="s">
        <v>141</v>
      </c>
      <c r="F49" s="12" t="s">
        <v>10</v>
      </c>
      <c r="G49" s="13">
        <v>2</v>
      </c>
    </row>
    <row r="50" spans="1:7" ht="15">
      <c r="A50" s="12" t="s">
        <v>387</v>
      </c>
      <c r="B50" s="12" t="s">
        <v>29</v>
      </c>
      <c r="C50" s="12" t="s">
        <v>28</v>
      </c>
      <c r="D50" s="12" t="s">
        <v>210</v>
      </c>
      <c r="E50" s="12" t="s">
        <v>211</v>
      </c>
      <c r="F50" s="12" t="s">
        <v>7</v>
      </c>
      <c r="G50" s="13">
        <v>3</v>
      </c>
    </row>
    <row r="51" spans="1:7" ht="15">
      <c r="A51" s="12" t="s">
        <v>387</v>
      </c>
      <c r="B51" s="12" t="s">
        <v>29</v>
      </c>
      <c r="C51" s="12" t="s">
        <v>28</v>
      </c>
      <c r="D51" s="12" t="s">
        <v>228</v>
      </c>
      <c r="E51" s="12" t="s">
        <v>229</v>
      </c>
      <c r="F51" s="12" t="s">
        <v>7</v>
      </c>
      <c r="G51" s="13">
        <v>3</v>
      </c>
    </row>
    <row r="52" spans="1:7" ht="15">
      <c r="A52" s="12" t="s">
        <v>387</v>
      </c>
      <c r="B52" s="12" t="s">
        <v>29</v>
      </c>
      <c r="C52" s="12" t="s">
        <v>28</v>
      </c>
      <c r="D52" s="12" t="s">
        <v>232</v>
      </c>
      <c r="E52" s="12" t="s">
        <v>233</v>
      </c>
      <c r="F52" s="12" t="s">
        <v>7</v>
      </c>
      <c r="G52" s="13">
        <v>3</v>
      </c>
    </row>
    <row r="53" spans="1:7" ht="15">
      <c r="A53" s="12" t="s">
        <v>387</v>
      </c>
      <c r="B53" s="12" t="s">
        <v>29</v>
      </c>
      <c r="C53" s="12" t="s">
        <v>28</v>
      </c>
      <c r="D53" s="12" t="s">
        <v>234</v>
      </c>
      <c r="E53" s="12" t="s">
        <v>235</v>
      </c>
      <c r="F53" s="12" t="s">
        <v>7</v>
      </c>
      <c r="G53" s="13">
        <v>3</v>
      </c>
    </row>
    <row r="54" spans="1:7" ht="15">
      <c r="A54" s="12" t="s">
        <v>387</v>
      </c>
      <c r="B54" s="12" t="s">
        <v>29</v>
      </c>
      <c r="C54" s="12" t="s">
        <v>28</v>
      </c>
      <c r="D54" s="12" t="s">
        <v>308</v>
      </c>
      <c r="E54" s="12" t="s">
        <v>309</v>
      </c>
      <c r="F54" s="12" t="s">
        <v>13</v>
      </c>
      <c r="G54" s="13">
        <v>1</v>
      </c>
    </row>
    <row r="55" spans="1:7" ht="15">
      <c r="A55" s="12" t="s">
        <v>387</v>
      </c>
      <c r="B55" s="12" t="s">
        <v>29</v>
      </c>
      <c r="C55" s="12" t="s">
        <v>28</v>
      </c>
      <c r="D55" s="12" t="s">
        <v>314</v>
      </c>
      <c r="E55" s="12" t="s">
        <v>315</v>
      </c>
      <c r="F55" s="12" t="s">
        <v>13</v>
      </c>
      <c r="G55" s="13">
        <v>2</v>
      </c>
    </row>
    <row r="56" spans="1:7" ht="15">
      <c r="A56" s="12" t="s">
        <v>387</v>
      </c>
      <c r="B56" s="12" t="s">
        <v>29</v>
      </c>
      <c r="C56" s="12" t="s">
        <v>28</v>
      </c>
      <c r="D56" s="12" t="s">
        <v>321</v>
      </c>
      <c r="E56" s="12" t="s">
        <v>322</v>
      </c>
      <c r="F56" s="12" t="s">
        <v>13</v>
      </c>
      <c r="G56" s="13">
        <v>1</v>
      </c>
    </row>
    <row r="57" spans="1:7" ht="15">
      <c r="A57" s="12" t="s">
        <v>387</v>
      </c>
      <c r="B57" s="12" t="s">
        <v>29</v>
      </c>
      <c r="C57" s="12" t="s">
        <v>28</v>
      </c>
      <c r="D57" s="12" t="s">
        <v>340</v>
      </c>
      <c r="E57" s="12" t="s">
        <v>341</v>
      </c>
      <c r="F57" s="12" t="s">
        <v>13</v>
      </c>
      <c r="G57" s="13">
        <v>3</v>
      </c>
    </row>
    <row r="58" spans="1:7" ht="15">
      <c r="A58" s="12" t="s">
        <v>387</v>
      </c>
      <c r="B58" s="12" t="s">
        <v>29</v>
      </c>
      <c r="C58" s="12" t="s">
        <v>28</v>
      </c>
      <c r="D58" s="12" t="s">
        <v>327</v>
      </c>
      <c r="E58" s="12" t="s">
        <v>328</v>
      </c>
      <c r="F58" s="12" t="s">
        <v>13</v>
      </c>
      <c r="G58" s="13">
        <v>2</v>
      </c>
    </row>
    <row r="59" spans="1:7" ht="15">
      <c r="A59" s="12" t="s">
        <v>387</v>
      </c>
      <c r="B59" s="12" t="s">
        <v>29</v>
      </c>
      <c r="C59" s="12" t="s">
        <v>28</v>
      </c>
      <c r="D59" s="12" t="s">
        <v>373</v>
      </c>
      <c r="E59" s="12" t="s">
        <v>374</v>
      </c>
      <c r="F59" s="12" t="s">
        <v>18</v>
      </c>
      <c r="G59" s="13">
        <v>2</v>
      </c>
    </row>
    <row r="60" spans="1:7" ht="15">
      <c r="A60" s="12" t="s">
        <v>387</v>
      </c>
      <c r="B60" s="12" t="s">
        <v>29</v>
      </c>
      <c r="C60" s="12" t="s">
        <v>28</v>
      </c>
      <c r="D60" s="12" t="s">
        <v>376</v>
      </c>
      <c r="E60" s="12" t="s">
        <v>377</v>
      </c>
      <c r="F60" s="12" t="s">
        <v>18</v>
      </c>
      <c r="G60" s="13">
        <v>2</v>
      </c>
    </row>
    <row r="61" spans="1:7" ht="15">
      <c r="A61" s="12" t="s">
        <v>388</v>
      </c>
      <c r="B61" s="12" t="s">
        <v>31</v>
      </c>
      <c r="C61" s="12" t="s">
        <v>30</v>
      </c>
      <c r="D61" s="12" t="s">
        <v>153</v>
      </c>
      <c r="E61" s="12" t="s">
        <v>154</v>
      </c>
      <c r="F61" s="12" t="s">
        <v>10</v>
      </c>
      <c r="G61" s="13">
        <v>2</v>
      </c>
    </row>
    <row r="62" spans="1:7" ht="15">
      <c r="A62" s="12" t="s">
        <v>388</v>
      </c>
      <c r="B62" s="12" t="s">
        <v>31</v>
      </c>
      <c r="C62" s="12" t="s">
        <v>30</v>
      </c>
      <c r="D62" s="12" t="s">
        <v>169</v>
      </c>
      <c r="E62" s="12" t="s">
        <v>170</v>
      </c>
      <c r="F62" s="12" t="s">
        <v>10</v>
      </c>
      <c r="G62" s="13">
        <v>2</v>
      </c>
    </row>
    <row r="63" spans="1:7" ht="15">
      <c r="A63" s="12" t="s">
        <v>388</v>
      </c>
      <c r="B63" s="12" t="s">
        <v>31</v>
      </c>
      <c r="C63" s="12" t="s">
        <v>30</v>
      </c>
      <c r="D63" s="12" t="s">
        <v>157</v>
      </c>
      <c r="E63" s="12" t="s">
        <v>158</v>
      </c>
      <c r="F63" s="12" t="s">
        <v>10</v>
      </c>
      <c r="G63" s="13">
        <v>2</v>
      </c>
    </row>
    <row r="64" spans="1:7" ht="15">
      <c r="A64" s="12" t="s">
        <v>388</v>
      </c>
      <c r="B64" s="12" t="s">
        <v>31</v>
      </c>
      <c r="C64" s="12" t="s">
        <v>30</v>
      </c>
      <c r="D64" s="12" t="s">
        <v>207</v>
      </c>
      <c r="E64" s="12" t="s">
        <v>208</v>
      </c>
      <c r="F64" s="12" t="s">
        <v>7</v>
      </c>
      <c r="G64" s="13">
        <v>3</v>
      </c>
    </row>
    <row r="65" spans="1:7" ht="15">
      <c r="A65" s="12" t="s">
        <v>388</v>
      </c>
      <c r="B65" s="12" t="s">
        <v>31</v>
      </c>
      <c r="C65" s="12" t="s">
        <v>30</v>
      </c>
      <c r="D65" s="12" t="s">
        <v>239</v>
      </c>
      <c r="E65" s="12" t="s">
        <v>240</v>
      </c>
      <c r="F65" s="12" t="s">
        <v>7</v>
      </c>
      <c r="G65" s="13">
        <v>3</v>
      </c>
    </row>
    <row r="66" spans="1:7" ht="15">
      <c r="A66" s="12" t="s">
        <v>388</v>
      </c>
      <c r="B66" s="12" t="s">
        <v>31</v>
      </c>
      <c r="C66" s="12" t="s">
        <v>30</v>
      </c>
      <c r="D66" s="12" t="s">
        <v>214</v>
      </c>
      <c r="E66" s="12" t="s">
        <v>215</v>
      </c>
      <c r="F66" s="12" t="s">
        <v>7</v>
      </c>
      <c r="G66" s="13">
        <v>1</v>
      </c>
    </row>
    <row r="67" spans="1:7" ht="15">
      <c r="A67" s="12" t="s">
        <v>388</v>
      </c>
      <c r="B67" s="12" t="s">
        <v>31</v>
      </c>
      <c r="C67" s="12" t="s">
        <v>30</v>
      </c>
      <c r="D67" s="12" t="s">
        <v>222</v>
      </c>
      <c r="E67" s="12" t="s">
        <v>223</v>
      </c>
      <c r="F67" s="12" t="s">
        <v>7</v>
      </c>
      <c r="G67" s="13">
        <v>1</v>
      </c>
    </row>
    <row r="68" spans="1:7" ht="15">
      <c r="A68" s="12" t="s">
        <v>388</v>
      </c>
      <c r="B68" s="12" t="s">
        <v>31</v>
      </c>
      <c r="C68" s="12" t="s">
        <v>30</v>
      </c>
      <c r="D68" s="12" t="s">
        <v>237</v>
      </c>
      <c r="E68" s="12" t="s">
        <v>238</v>
      </c>
      <c r="F68" s="12" t="s">
        <v>7</v>
      </c>
      <c r="G68" s="13">
        <v>3</v>
      </c>
    </row>
    <row r="69" spans="1:7" ht="15">
      <c r="A69" s="12" t="s">
        <v>388</v>
      </c>
      <c r="B69" s="12" t="s">
        <v>31</v>
      </c>
      <c r="C69" s="12" t="s">
        <v>30</v>
      </c>
      <c r="D69" s="12" t="s">
        <v>311</v>
      </c>
      <c r="E69" s="12" t="s">
        <v>312</v>
      </c>
      <c r="F69" s="12" t="s">
        <v>13</v>
      </c>
      <c r="G69" s="13">
        <v>1</v>
      </c>
    </row>
    <row r="70" spans="1:7" ht="15">
      <c r="A70" s="12" t="s">
        <v>388</v>
      </c>
      <c r="B70" s="12" t="s">
        <v>31</v>
      </c>
      <c r="C70" s="12" t="s">
        <v>30</v>
      </c>
      <c r="D70" s="12" t="s">
        <v>314</v>
      </c>
      <c r="E70" s="12" t="s">
        <v>315</v>
      </c>
      <c r="F70" s="12" t="s">
        <v>13</v>
      </c>
      <c r="G70" s="13">
        <v>2</v>
      </c>
    </row>
    <row r="71" spans="1:7" ht="15">
      <c r="A71" s="12" t="s">
        <v>388</v>
      </c>
      <c r="B71" s="12" t="s">
        <v>31</v>
      </c>
      <c r="C71" s="12" t="s">
        <v>30</v>
      </c>
      <c r="D71" s="12" t="s">
        <v>321</v>
      </c>
      <c r="E71" s="12" t="s">
        <v>322</v>
      </c>
      <c r="F71" s="12" t="s">
        <v>13</v>
      </c>
      <c r="G71" s="13">
        <v>1</v>
      </c>
    </row>
    <row r="72" spans="1:7" ht="15">
      <c r="A72" s="12" t="s">
        <v>388</v>
      </c>
      <c r="B72" s="12" t="s">
        <v>31</v>
      </c>
      <c r="C72" s="12" t="s">
        <v>30</v>
      </c>
      <c r="D72" s="12" t="s">
        <v>340</v>
      </c>
      <c r="E72" s="12" t="s">
        <v>341</v>
      </c>
      <c r="F72" s="12" t="s">
        <v>13</v>
      </c>
      <c r="G72" s="13">
        <v>3</v>
      </c>
    </row>
    <row r="73" spans="1:7" ht="15">
      <c r="A73" s="12" t="s">
        <v>388</v>
      </c>
      <c r="B73" s="12" t="s">
        <v>31</v>
      </c>
      <c r="C73" s="12" t="s">
        <v>30</v>
      </c>
      <c r="D73" s="12" t="s">
        <v>327</v>
      </c>
      <c r="E73" s="12" t="s">
        <v>328</v>
      </c>
      <c r="F73" s="12" t="s">
        <v>13</v>
      </c>
      <c r="G73" s="13">
        <v>2</v>
      </c>
    </row>
    <row r="74" spans="1:7" ht="15">
      <c r="A74" s="12" t="s">
        <v>388</v>
      </c>
      <c r="B74" s="12" t="s">
        <v>31</v>
      </c>
      <c r="C74" s="12" t="s">
        <v>30</v>
      </c>
      <c r="D74" s="12" t="s">
        <v>373</v>
      </c>
      <c r="E74" s="12" t="s">
        <v>374</v>
      </c>
      <c r="F74" s="12" t="s">
        <v>18</v>
      </c>
      <c r="G74" s="13">
        <v>2</v>
      </c>
    </row>
    <row r="75" spans="1:7" ht="15">
      <c r="A75" s="12" t="s">
        <v>388</v>
      </c>
      <c r="B75" s="12" t="s">
        <v>31</v>
      </c>
      <c r="C75" s="12" t="s">
        <v>30</v>
      </c>
      <c r="D75" s="12" t="s">
        <v>376</v>
      </c>
      <c r="E75" s="12" t="s">
        <v>377</v>
      </c>
      <c r="F75" s="12" t="s">
        <v>18</v>
      </c>
      <c r="G75" s="13">
        <v>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Cards</vt:lpstr>
      <vt:lpstr>Starter Decks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Jack.Bydalek</cp:lastModifiedBy>
  <dcterms:modified xsi:type="dcterms:W3CDTF">2026-07-21T16:32:25Z</dcterms:modified>
</cp:coreProperties>
</file>