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16ea2240634a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70f2b81293b42bf"/>
    <x:sheet xmlns:r="http://schemas.openxmlformats.org/officeDocument/2006/relationships" name="Cards" sheetId="2" r:id="R9b18ac178db64de0"/>
    <x:sheet xmlns:r="http://schemas.openxmlformats.org/officeDocument/2006/relationships" name="Starter Decks" sheetId="3" r:id="Ra35fe3b439c147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11">
    <x:font>
      <x:sz val="11"/>
      <x:name val="Carlito"/>
    </x:font>
    <x:font>
      <x:b/>
      <x:sz val="20"/>
      <x:color rgb="FFFFFFFF"/>
      <x:name val="Aptos Display"/>
    </x:font>
    <x:font>
      <x:i/>
      <x:sz val="10"/>
      <x:color rgb="FF38546A"/>
      <x:name val="Aptos"/>
    </x:font>
    <x:font>
      <x:sz val="10"/>
      <x:color rgb="FF44515C"/>
      <x:name val="Aptos"/>
    </x:font>
    <x:font>
      <x:b/>
      <x:sz val="10"/>
      <x:color rgb="FFFFFFFF"/>
      <x:name val="Aptos"/>
    </x:font>
    <x:font>
      <x:sz val="10"/>
      <x:color rgb="FF243746"/>
      <x:name val="Aptos"/>
    </x:font>
    <x:font>
      <x:b/>
      <x:sz val="20"/>
      <x:color rgb="FFFFFFFF"/>
      <x:name val="Aptos"/>
    </x:font>
    <x:font>
      <x:sz val="11"/>
      <x:name val="Aptos"/>
    </x:font>
    <x:font>
      <x:b/>
      <x:sz val="18"/>
      <x:color rgb="FFFFFFFF"/>
      <x:name val="Aptos Display"/>
    </x:font>
    <x:font>
      <x:b/>
      <x:sz val="9"/>
      <x:color rgb="FFFFFFFF"/>
      <x:name val="Aptos"/>
    </x:font>
    <x:font>
      <x:sz val="9"/>
      <x:color rgb="FF243746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F6F8FA"/>
      </x:patternFill>
    </x:fill>
    <x:fill>
      <x:patternFill patternType="solid">
        <x:fgColor rgb="FF24557A"/>
      </x:patternFill>
    </x:fill>
  </x:fills>
  <x:borders count="13">
    <x:border/>
    <x:border>
      <x:left style="thin">
        <x:color rgb="FFCAD6E2"/>
      </x:left>
      <x:top style="thin">
        <x:color rgb="FFCAD6E2"/>
      </x:top>
    </x:border>
    <x:border>
      <x:top style="thin">
        <x:color rgb="FFCAD6E2"/>
      </x:top>
    </x:border>
    <x:border>
      <x:right style="thin">
        <x:color rgb="FFCAD6E2"/>
      </x:right>
      <x:top style="thin">
        <x:color rgb="FFCAD6E2"/>
      </x:top>
    </x:border>
    <x:border>
      <x:left style="thin">
        <x:color rgb="FFCAD6E2"/>
      </x:left>
    </x:border>
    <x:border>
      <x:right style="thin">
        <x:color rgb="FFCAD6E2"/>
      </x:right>
    </x:border>
    <x:border>
      <x:left style="thin">
        <x:color rgb="FFCAD6E2"/>
      </x:left>
      <x:bottom style="thin">
        <x:color rgb="FFCAD6E2"/>
      </x:bottom>
    </x:border>
    <x:border>
      <x:bottom style="thin">
        <x:color rgb="FFCAD6E2"/>
      </x:bottom>
    </x:border>
    <x:border>
      <x:right style="thin">
        <x:color rgb="FFCAD6E2"/>
      </x:right>
      <x:bottom style="thin">
        <x:color rgb="FFCAD6E2"/>
      </x:bottom>
    </x:border>
    <x:border>
      <x:left style="thin">
        <x:color rgb="FF24557A"/>
      </x:left>
      <x:top style="thin">
        <x:color rgb="FF24557A"/>
      </x:top>
      <x:bottom style="thin">
        <x:color rgb="FF24557A"/>
      </x:bottom>
    </x:border>
    <x:border>
      <x:right style="thin">
        <x:color rgb="FF24557A"/>
      </x:right>
      <x:top style="thin">
        <x:color rgb="FF24557A"/>
      </x:top>
      <x:bottom style="thin">
        <x:color rgb="FF24557A"/>
      </x:bottom>
    </x:border>
    <x:border>
      <x:top style="thin">
        <x:color rgb="FF24557A"/>
      </x:top>
      <x:bottom style="thin">
        <x:color rgb="FF24557A"/>
      </x:bottom>
    </x:border>
    <x:border>
      <x:top style="thin">
        <x:color rgb="FFCAD6E2"/>
      </x:top>
      <x:bottom style="thin">
        <x:color rgb="FFCAD6E2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 wrapText="1"/>
    </x:xf>
    <x:xf numFmtId="0" fontId="3" fillId="4" borderId="7" xfId="0" applyNumberFormat="1" applyFont="1" applyFill="1" applyBorder="1" applyAlignment="1">
      <x:alignment vertical="top" wrapText="1"/>
    </x:xf>
    <x:xf numFmtId="0" fontId="3" fillId="4" borderId="8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9" xfId="0" applyNumberFormat="1" applyFont="1" applyFill="1" applyBorder="1"/>
    <x:xf numFmtId="0" fontId="4" fillId="5" borderId="10" xfId="0" applyNumberFormat="1" applyFont="1" applyFill="1" applyBorder="1"/>
    <x:xf numFmtId="0" fontId="4" fillId="5" borderId="9" xfId="0" applyNumberFormat="1" applyFont="1" applyFill="1" applyBorder="1" applyAlignment="1">
      <x:alignment vertical="center"/>
    </x:xf>
    <x:xf numFmtId="0" fontId="4" fillId="5" borderId="10" xfId="0" applyNumberFormat="1" applyFont="1" applyFill="1" applyBorder="1" applyAlignment="1">
      <x:alignment vertical="center"/>
    </x:xf>
    <x:xf numFmtId="0" fontId="4" fillId="5" borderId="11" xfId="0" applyNumberFormat="1" applyFont="1" applyFill="1" applyBorder="1"/>
    <x:xf numFmtId="0" fontId="4" fillId="5" borderId="1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7" xfId="0" applyNumberFormat="1" applyFont="1" applyFill="1" applyBorder="1"/>
    <x:xf numFmtId="0" fontId="5" fillId="0" borderId="12" xfId="0" applyNumberFormat="1" applyFont="1" applyFill="1" applyBorder="1"/>
    <x:xf numFmtId="200" fontId="5" fillId="0" borderId="7" xfId="0" applyNumberFormat="1" applyFont="1" applyFill="1" applyBorder="1"/>
    <x:xf numFmtId="200" fontId="5" fillId="0" borderId="12" xfId="0" applyNumberFormat="1" applyFont="1" applyFill="1" applyBorder="1"/>
    <x:xf numFmtId="200" fontId="0" fillId="0" borderId="0" xfId="0" applyNumberFormat="1" applyFont="1" applyFill="1" applyBorder="1"/>
    <x:xf numFmtId="200" fontId="4" fillId="5" borderId="1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201" fontId="10" fillId="0" borderId="0" xfId="0" applyNumberFormat="1" applyFont="1" applyFill="1" applyBorder="1"/>
    <x:xf numFmtId="201" fontId="10" fillId="0" borderId="0" xfId="0" applyNumberFormat="1" applyFont="1" applyFill="1" applyBorder="1" applyAlignment="1">
      <x:alignment horizontal="center"/>
    </x:xf>
    <x:xf numFmtId="0" fontId="10" fillId="0" borderId="0" xfId="0" applyNumberFormat="1" applyFont="1" applyFill="1" applyBorder="1" applyAlignment="1">
      <x:alignment horizontal="center"/>
    </x:xf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7">
    <x:dxf>
      <x:font>
        <x:color rgb="FFA33B1F"/>
      </x:font>
      <x:fill>
        <x:patternFill patternType="solid">
          <x:bgColor rgb="FFFCE8E2"/>
        </x:patternFill>
      </x:fill>
    </x:dxf>
    <x:dxf>
      <x:font>
        <x:color rgb="FF76551B"/>
      </x:font>
      <x:fill>
        <x:patternFill patternType="solid">
          <x:bgColor rgb="FFFFF4D6"/>
        </x:patternFill>
      </x:fill>
    </x:dxf>
    <x:dxf>
      <x:font>
        <x:color rgb="FF9C376F"/>
      </x:font>
      <x:fill>
        <x:patternFill patternType="solid">
          <x:bgColor rgb="FFFCE8F1"/>
        </x:patternFill>
      </x:fill>
    </x:dxf>
    <x:dxf>
      <x:font>
        <x:color rgb="FF2F7040"/>
      </x:font>
      <x:fill>
        <x:patternFill patternType="solid">
          <x:bgColor rgb="FFE7F4EA"/>
        </x:patternFill>
      </x:fill>
    </x:dxf>
    <x:dxf>
      <x:font>
        <x:color rgb="FF55408C"/>
      </x:font>
      <x:fill>
        <x:patternFill patternType="solid">
          <x:bgColor rgb="FFEEE9FA"/>
        </x:patternFill>
      </x:fill>
    </x:dxf>
    <x:dxf>
      <x:font>
        <x:b/>
        <x:color rgb="FF76551B"/>
      </x:font>
      <x:fill>
        <x:patternFill patternType="solid">
          <x:bgColor rgb="FFFFF4D6"/>
        </x:patternFill>
      </x:fill>
    </x:dxf>
    <x:dxf>
      <x:font>
        <x:b/>
        <x:color rgb="FF55408C"/>
      </x:font>
      <x:fill>
        <x:patternFill patternType="solid">
          <x:bgColor rgb="FFEEE9F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e9c8450cae4744" /><Relationship Type="http://schemas.openxmlformats.org/officeDocument/2006/relationships/theme" Target="/xl/theme/theme1.xml" Id="Rc891bfc9bcef43fe" /><Relationship Type="http://schemas.openxmlformats.org/officeDocument/2006/relationships/sharedStrings" Target="/xl/sharedStrings.xml" Id="R7b586836ac3741ac" /><Relationship Type="http://schemas.openxmlformats.org/officeDocument/2006/relationships/worksheet" Target="/xl/worksheets/sheet1.xml" Id="R670f2b81293b42bf" /><Relationship Type="http://schemas.openxmlformats.org/officeDocument/2006/relationships/worksheet" Target="/xl/worksheets/sheet2.xml" Id="R9b18ac178db64de0" /><Relationship Type="http://schemas.openxmlformats.org/officeDocument/2006/relationships/worksheet" Target="/xl/worksheets/sheet3.xml" Id="Ra35fe3b439c147dd" /></Relationships>
</file>

<file path=xl/tables/table1.xml><?xml version="1.0" encoding="utf-8"?>
<x:table xmlns:x="http://schemas.openxmlformats.org/spreadsheetml/2006/main" id="1" name="ImplementedCardsTable" displayName="ImplementedCardsTable" ref="A4:T92" headerRowCount="1" totalsRowCount="0" totalsRowShown="0">
  <x:autoFilter ref="A4:T92"/>
  <x:tableColumns count="20">
    <x:tableColumn id="1" name="#"/>
    <x:tableColumn id="2" name="Card ID"/>
    <x:tableColumn id="3" name="Name"/>
    <x:tableColumn id="4" name="Subtitle"/>
    <x:tableColumn id="5" name="Card Type"/>
    <x:tableColumn id="6" name="Archetype"/>
    <x:tableColumn id="7" name="Rare Flag"/>
    <x:tableColumn id="8" name="Campaign Rarity"/>
    <x:tableColumn id="9" name="Attack"/>
    <x:tableColumn id="10" name="Health"/>
    <x:tableColumn id="11" name="Recipe / Ingredient Types"/>
    <x:tableColumn id="12" name="Recipe Cost"/>
    <x:tableColumn id="13" name="Discard Cost"/>
    <x:tableColumn id="14" name="Runtime Cost"/>
    <x:tableColumn id="15" name="Keywords"/>
    <x:tableColumn id="16" name="Rules Text"/>
    <x:tableColumn id="17" name="Implementation Hooks"/>
    <x:tableColumn id="18" name="Starter Decks"/>
    <x:tableColumn id="19" name="Starter Copies"/>
    <x:tableColumn id="20" name="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tarterDeckEntriesTable" displayName="StarterDeckEntriesTable" ref="A4:G75" headerRowCount="1" totalsRowCount="0" totalsRowShown="0">
  <x:autoFilter ref="A4:G75"/>
  <x:tableColumns count="7">
    <x:tableColumn id="1" name="Deck ID"/>
    <x:tableColumn id="2" name="Deck Name"/>
    <x:tableColumn id="3" name="Archetype"/>
    <x:tableColumn id="4" name="Card ID"/>
    <x:tableColumn id="5" name="Card Name"/>
    <x:tableColumn id="6" name="Card Type"/>
    <x:tableColumn id="7" name="Cou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cc0088e955d46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25de23ce301411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3" hidden="0" customWidth="1"/>
    <x:col min="4" max="4" width="24" hidden="0" customWidth="1"/>
    <x:col min="5" max="5" width="12" hidden="0" customWidth="1"/>
    <x:col min="6" max="6" width="3" hidden="0" customWidth="1"/>
    <x:col min="7" max="7" width="18" hidden="0" customWidth="1"/>
    <x:col min="8" max="8" width="12" hidden="0" customWidth="1"/>
  </x:cols>
  <x:sheetData>
    <x:row r="1" ht="34" customHeight="1">
      <x:c r="A1" s="50" t="str">
        <x:v>Road to Worlds — Implemented Card Catalog</x:v>
      </x:c>
      <x:c r="B1" s="50"/>
      <x:c r="C1" s="50"/>
      <x:c r="D1" s="50"/>
      <x:c r="E1" s="50"/>
      <x:c r="F1" s="50"/>
      <x:c r="G1" s="50"/>
      <x:c r="H1" s="50"/>
    </x:row>
    <x:row r="2" ht="24" customHeight="1">
      <x:c r="A2" s="6" t="str">
        <x:v>Live catalog inventory from data/cards.json (schema v2), verified 2026-07-18</x:v>
      </x:c>
      <x:c r="B2" s="6"/>
      <x:c r="C2" s="6"/>
      <x:c r="D2" s="6"/>
      <x:c r="E2" s="6"/>
      <x:c r="F2" s="6"/>
      <x:c r="G2" s="6"/>
      <x:c r="H2" s="6"/>
    </x:row>
    <x:row r="3">
      <x:c r="A3" s="51"/>
      <x:c r="B3" s="51"/>
      <x:c r="C3" s="51"/>
      <x:c r="D3" s="51"/>
      <x:c r="E3" s="51"/>
      <x:c r="F3" s="51"/>
      <x:c r="G3" s="51"/>
      <x:c r="H3" s="51"/>
    </x:row>
    <x:row r="4">
      <x:c r="A4" s="39" t="str">
        <x:v>Catalog KPI</x:v>
      </x:c>
      <x:c r="B4" s="40" t="str">
        <x:v>Count</x:v>
      </x:c>
      <x:c r="C4" s="51"/>
      <x:c r="D4" s="39" t="str">
        <x:v>Card Type</x:v>
      </x:c>
      <x:c r="E4" s="40" t="str">
        <x:v>Count</x:v>
      </x:c>
      <x:c r="F4" s="51"/>
      <x:c r="G4" s="39" t="str">
        <x:v>Rarity</x:v>
      </x:c>
      <x:c r="H4" s="40" t="str">
        <x:v>Count</x:v>
      </x:c>
    </x:row>
    <x:row r="5">
      <x:c r="A5" s="44" t="str">
        <x:v>Total cards</x:v>
      </x:c>
      <x:c r="B5" s="46" t="n">
        <x:f>COUNTA('Cards'!$B$5:$B$92)</x:f>
        <x:v>88</x:v>
      </x:c>
      <x:c r="C5" s="51"/>
      <x:c r="D5" s="44" t="str">
        <x:v>Ingredient</x:v>
      </x:c>
      <x:c r="E5" s="46" t="n">
        <x:f>COUNTIF('Cards'!$E$5:$E$92,D5)</x:f>
        <x:v>36</x:v>
      </x:c>
      <x:c r="F5" s="51"/>
      <x:c r="G5" s="44" t="str">
        <x:v>Common</x:v>
      </x:c>
      <x:c r="H5" s="46" t="n">
        <x:f>COUNTIF('Cards'!$H$5:$H$92,G5)</x:f>
        <x:v>35</x:v>
      </x:c>
    </x:row>
    <x:row r="6">
      <x:c r="A6" s="45" t="str">
        <x:v>Used in a starter deck</x:v>
      </x:c>
      <x:c r="B6" s="47" t="n">
        <x:f>COUNTIF('Cards'!$S$5:$S$92,"&gt;0")</x:f>
        <x:v>50</x:v>
      </x:c>
      <x:c r="C6" s="51"/>
      <x:c r="D6" s="45" t="str">
        <x:v>Meal</x:v>
      </x:c>
      <x:c r="E6" s="47" t="n">
        <x:f>COUNTIF('Cards'!$E$5:$E$92,D6)</x:f>
        <x:v>28</x:v>
      </x:c>
      <x:c r="F6" s="51"/>
      <x:c r="G6" s="45" t="str">
        <x:v>Uncommon</x:v>
      </x:c>
      <x:c r="H6" s="47" t="n">
        <x:f>COUNTIF('Cards'!$H$5:$H$92,G6)</x:f>
        <x:v>17</x:v>
      </x:c>
    </x:row>
    <x:row r="7">
      <x:c r="A7" s="45" t="str">
        <x:v>Not currently in a starter deck</x:v>
      </x:c>
      <x:c r="B7" s="47" t="n">
        <x:f>B5-B6</x:f>
        <x:v>38</x:v>
      </x:c>
      <x:c r="C7" s="51"/>
      <x:c r="D7" s="45" t="str">
        <x:v>Tool</x:v>
      </x:c>
      <x:c r="E7" s="47" t="n">
        <x:f>COUNTIF('Cards'!$E$5:$E$92,D7)</x:f>
        <x:v>14</x:v>
      </x:c>
      <x:c r="F7" s="51"/>
      <x:c r="G7" s="45" t="str">
        <x:v>Rare</x:v>
      </x:c>
      <x:c r="H7" s="47" t="n">
        <x:f>COUNTIF('Cards'!$H$5:$H$92,G7)</x:f>
        <x:v>32</x:v>
      </x:c>
    </x:row>
    <x:row r="8">
      <x:c r="A8" s="51"/>
      <x:c r="B8" s="52"/>
      <x:c r="C8" s="51"/>
      <x:c r="D8" s="45" t="str">
        <x:v>Spice</x:v>
      </x:c>
      <x:c r="E8" s="47" t="n">
        <x:f>COUNTIF('Cards'!$E$5:$E$92,D8)</x:f>
        <x:v>3</x:v>
      </x:c>
      <x:c r="F8" s="51"/>
      <x:c r="G8" s="45" t="str">
        <x:v>Mythic</x:v>
      </x:c>
      <x:c r="H8" s="47" t="n">
        <x:f>COUNTIF('Cards'!$H$5:$H$92,G8)</x:f>
        <x:v>4</x:v>
      </x:c>
    </x:row>
    <x:row r="9">
      <x:c r="A9" s="51"/>
      <x:c r="B9" s="52"/>
      <x:c r="C9" s="51"/>
      <x:c r="D9" s="45" t="str">
        <x:v>Environment</x:v>
      </x:c>
      <x:c r="E9" s="47" t="n">
        <x:f>COUNTIF('Cards'!$E$5:$E$92,D9)</x:f>
        <x:v>3</x:v>
      </x:c>
      <x:c r="F9" s="51"/>
      <x:c r="G9" s="51"/>
      <x:c r="H9" s="51"/>
    </x:row>
    <x:row r="10">
      <x:c r="A10" s="51"/>
      <x:c r="B10" s="52"/>
      <x:c r="C10" s="51"/>
      <x:c r="D10" s="45" t="str">
        <x:v>Chef</x:v>
      </x:c>
      <x:c r="E10" s="47" t="n">
        <x:f>COUNTIF('Cards'!$E$5:$E$92,D10)</x:f>
        <x:v>4</x:v>
      </x:c>
      <x:c r="F10" s="51"/>
      <x:c r="G10" s="51"/>
      <x:c r="H10" s="51"/>
    </x:row>
    <x:row r="11">
      <x:c r="A11" s="51"/>
      <x:c r="B11" s="52"/>
      <x:c r="C11" s="51"/>
      <x:c r="D11" s="51"/>
      <x:c r="E11" s="52"/>
      <x:c r="F11" s="51"/>
      <x:c r="G11" s="51"/>
      <x:c r="H11" s="51"/>
    </x:row>
    <x:row r="12">
      <x:c r="A12" s="39" t="str">
        <x:v>Archetype</x:v>
      </x:c>
      <x:c r="B12" s="49" t="str">
        <x:v>Count</x:v>
      </x:c>
      <x:c r="C12" s="51"/>
      <x:c r="D12" s="39" t="str">
        <x:v>Starter Deck</x:v>
      </x:c>
      <x:c r="E12" s="49" t="str">
        <x:v>Total Cards</x:v>
      </x:c>
      <x:c r="F12" s="51"/>
      <x:c r="G12" s="51"/>
      <x:c r="H12" s="51"/>
    </x:row>
    <x:row r="13">
      <x:c r="A13" s="44" t="str">
        <x:v>Spicy</x:v>
      </x:c>
      <x:c r="B13" s="46" t="n">
        <x:f>COUNTIF('Cards'!$F$5:$F$92,A13)</x:f>
        <x:v>18</x:v>
      </x:c>
      <x:c r="C13" s="51"/>
      <x:c r="D13" s="44" t="str">
        <x:v>Spicy Starter</x:v>
      </x:c>
      <x:c r="E13" s="46" t="n">
        <x:f>SUMIF('Starter Decks'!$B$5:$B$79,D13,'Starter Decks'!$G$5:$G$79)</x:f>
        <x:v>30</x:v>
      </x:c>
      <x:c r="F13" s="51"/>
      <x:c r="G13" s="51"/>
      <x:c r="H13" s="51"/>
    </x:row>
    <x:row r="14">
      <x:c r="A14" s="45" t="str">
        <x:v>Hearty</x:v>
      </x:c>
      <x:c r="B14" s="47" t="n">
        <x:f>COUNTIF('Cards'!$F$5:$F$92,A14)</x:f>
        <x:v>18</x:v>
      </x:c>
      <x:c r="C14" s="51"/>
      <x:c r="D14" s="45" t="str">
        <x:v>Hearty Starter</x:v>
      </x:c>
      <x:c r="E14" s="47" t="n">
        <x:f>SUMIF('Starter Decks'!$B$5:$B$79,D14,'Starter Decks'!$G$5:$G$79)</x:f>
        <x:v>30</x:v>
      </x:c>
      <x:c r="F14" s="51"/>
      <x:c r="G14" s="51"/>
      <x:c r="H14" s="51"/>
    </x:row>
    <x:row r="15">
      <x:c r="A15" s="45" t="str">
        <x:v>Sweet</x:v>
      </x:c>
      <x:c r="B15" s="47" t="n">
        <x:f>COUNTIF('Cards'!$F$5:$F$92,A15)</x:f>
        <x:v>19</x:v>
      </x:c>
      <x:c r="C15" s="51"/>
      <x:c r="D15" s="45" t="str">
        <x:v>Sweet Starter</x:v>
      </x:c>
      <x:c r="E15" s="47" t="n">
        <x:f>SUMIF('Starter Decks'!$B$5:$B$79,D15,'Starter Decks'!$G$5:$G$79)</x:f>
        <x:v>30</x:v>
      </x:c>
      <x:c r="F15" s="51"/>
      <x:c r="G15" s="51"/>
      <x:c r="H15" s="51"/>
    </x:row>
    <x:row r="16">
      <x:c r="A16" s="45" t="str">
        <x:v>Fresh</x:v>
      </x:c>
      <x:c r="B16" s="47" t="n">
        <x:f>COUNTIF('Cards'!$F$5:$F$92,A16)</x:f>
        <x:v>7</x:v>
      </x:c>
      <x:c r="C16" s="51"/>
      <x:c r="D16" s="45" t="str">
        <x:v>Fresh Starter</x:v>
      </x:c>
      <x:c r="E16" s="47" t="n">
        <x:f>SUMIF('Starter Decks'!$B$5:$B$79,D16,'Starter Decks'!$G$5:$G$79)</x:f>
        <x:v>30</x:v>
      </x:c>
      <x:c r="F16" s="51"/>
      <x:c r="G16" s="51"/>
      <x:c r="H16" s="51"/>
    </x:row>
    <x:row r="17">
      <x:c r="A17" s="45" t="str">
        <x:v>Funky</x:v>
      </x:c>
      <x:c r="B17" s="47" t="n">
        <x:f>COUNTIF('Cards'!$F$5:$F$92,A17)</x:f>
        <x:v>8</x:v>
      </x:c>
      <x:c r="C17" s="51"/>
      <x:c r="D17" s="45" t="str">
        <x:v>Funky Starter</x:v>
      </x:c>
      <x:c r="E17" s="47" t="n">
        <x:f>SUMIF('Starter Decks'!$B$5:$B$79,D17,'Starter Decks'!$G$5:$G$79)</x:f>
        <x:v>30</x:v>
      </x:c>
      <x:c r="F17" s="51"/>
      <x:c r="G17" s="51"/>
      <x:c r="H17" s="51"/>
    </x:row>
    <x:row r="18">
      <x:c r="A18" s="45" t="str">
        <x:v>Neutral</x:v>
      </x:c>
      <x:c r="B18" s="47" t="n">
        <x:f>COUNTIF('Cards'!$F$5:$F$92,A18)</x:f>
        <x:v>18</x:v>
      </x:c>
      <x:c r="C18" s="51"/>
      <x:c r="D18" s="51"/>
      <x:c r="E18" s="51"/>
      <x:c r="F18" s="51"/>
      <x:c r="G18" s="51"/>
      <x:c r="H18" s="51"/>
    </x:row>
    <x:row r="19">
      <x:c r="A19" s="51"/>
      <x:c r="B19" s="51"/>
      <x:c r="C19" s="51"/>
      <x:c r="D19" s="51"/>
      <x:c r="E19" s="51"/>
      <x:c r="F19" s="51"/>
      <x:c r="G19" s="51"/>
      <x:c r="H19" s="51"/>
    </x:row>
    <x:row r="20">
      <x:c r="A20" s="51"/>
      <x:c r="B20" s="51"/>
      <x:c r="C20" s="51"/>
      <x:c r="D20" s="39" t="str">
        <x:v>Implementation note</x:v>
      </x:c>
      <x:c r="E20" s="42"/>
      <x:c r="F20" s="42"/>
      <x:c r="G20" s="42"/>
      <x:c r="H20" s="40"/>
    </x:row>
    <x:row r="21">
      <x:c r="A21" s="51"/>
      <x:c r="B21" s="51"/>
      <x:c r="C21" s="51"/>
      <x:c r="D21" s="26" t="str">
        <x:v>Cards are included when present in the live catalog loaded by ContentCatalog.gd. Campaign rarity and runtime cost are calculated using the same rules as the game code.</x:v>
      </x:c>
      <x:c r="E21" s="27"/>
      <x:c r="F21" s="27"/>
      <x:c r="G21" s="27"/>
      <x:c r="H21" s="28"/>
    </x:row>
    <x:row r="22">
      <x:c r="A22" s="51"/>
      <x:c r="B22" s="51"/>
      <x:c r="C22" s="51"/>
      <x:c r="D22" s="29"/>
      <x:c r="E22" s="30"/>
      <x:c r="F22" s="30"/>
      <x:c r="G22" s="30"/>
      <x:c r="H22" s="31"/>
    </x:row>
    <x:row r="23">
      <x:c r="A23" s="51"/>
      <x:c r="B23" s="51"/>
      <x:c r="C23" s="51"/>
      <x:c r="D23" s="32"/>
      <x:c r="E23" s="33"/>
      <x:c r="F23" s="33"/>
      <x:c r="G23" s="33"/>
      <x:c r="H23" s="34"/>
    </x:row>
  </x:sheetData>
  <x:mergeCells>
    <x:mergeCell ref="A1:H1"/>
    <x:mergeCell ref="A2:H2"/>
    <x:mergeCell ref="D20:H20"/>
    <x:mergeCell ref="D21:H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" hidden="0" customWidth="1"/>
    <x:col min="2" max="2" width="31" hidden="0" customWidth="1"/>
    <x:col min="3" max="3" width="26" hidden="0" customWidth="1"/>
    <x:col min="4" max="4" width="24" hidden="0" customWidth="1"/>
    <x:col min="5" max="5" width="13" hidden="0" customWidth="1"/>
    <x:col min="6" max="6" width="13" hidden="0" customWidth="1"/>
    <x:col min="7" max="7" width="10" hidden="0" customWidth="1"/>
    <x:col min="8" max="8" width="17" hidden="0" customWidth="1"/>
    <x:col min="9" max="9" width="8" hidden="0" customWidth="1"/>
    <x:col min="10" max="10" width="8" hidden="0" customWidth="1"/>
    <x:col min="11" max="11" width="24" hidden="0" customWidth="1"/>
    <x:col min="12" max="12" width="11" hidden="0" customWidth="1"/>
    <x:col min="13" max="13" width="12" hidden="0" customWidth="1"/>
    <x:col min="14" max="14" width="12" hidden="0" customWidth="1"/>
    <x:col min="15" max="15" width="20" hidden="0" customWidth="1"/>
    <x:col min="16" max="16" width="58" hidden="0" customWidth="1"/>
    <x:col min="17" max="17" width="31" hidden="0" customWidth="1"/>
    <x:col min="18" max="18" width="34" hidden="0" customWidth="1"/>
    <x:col min="19" max="19" width="12" hidden="0" customWidth="1"/>
    <x:col min="20" max="20" width="18" hidden="0" customWidth="1"/>
  </x:cols>
  <x:sheetData>
    <x:row r="1" ht="32" customHeight="1">
      <x:c r="A1" s="54" t="str">
        <x:v>Currently Implemented Cards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  <x:c r="O1" s="54"/>
      <x:c r="P1" s="54"/>
      <x:c r="Q1" s="54"/>
      <x:c r="R1" s="54"/>
      <x:c r="S1" s="54"/>
      <x:c r="T1" s="54"/>
    </x:row>
    <x:row r="2">
      <x:c r="A2" s="5" t="str">
        <x:v>Filter by type, archetype, rarity, or starter-deck usage. Runtime Cost and Campaign Rarity mirror ContentCatalog.gd.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</x:row>
    <x:row r="4" ht="32" customHeight="1">
      <x:c r="A4" s="57" t="str">
        <x:v>#</x:v>
      </x:c>
      <x:c r="B4" s="57" t="str">
        <x:v>Card ID</x:v>
      </x:c>
      <x:c r="C4" s="57" t="str">
        <x:v>Name</x:v>
      </x:c>
      <x:c r="D4" s="57" t="str">
        <x:v>Subtitle</x:v>
      </x:c>
      <x:c r="E4" s="57" t="str">
        <x:v>Card Type</x:v>
      </x:c>
      <x:c r="F4" s="57" t="str">
        <x:v>Archetype</x:v>
      </x:c>
      <x:c r="G4" s="57" t="str">
        <x:v>Rare Flag</x:v>
      </x:c>
      <x:c r="H4" s="57" t="str">
        <x:v>Campaign Rarity</x:v>
      </x:c>
      <x:c r="I4" s="57" t="str">
        <x:v>Attack</x:v>
      </x:c>
      <x:c r="J4" s="57" t="str">
        <x:v>Health</x:v>
      </x:c>
      <x:c r="K4" s="57" t="str">
        <x:v>Recipe / Ingredient Types</x:v>
      </x:c>
      <x:c r="L4" s="57" t="str">
        <x:v>Recipe Cost</x:v>
      </x:c>
      <x:c r="M4" s="57" t="str">
        <x:v>Discard Cost</x:v>
      </x:c>
      <x:c r="N4" s="57" t="str">
        <x:v>Runtime Cost</x:v>
      </x:c>
      <x:c r="O4" s="57" t="str">
        <x:v>Keywords</x:v>
      </x:c>
      <x:c r="P4" s="57" t="str">
        <x:v>Rules Text</x:v>
      </x:c>
      <x:c r="Q4" s="57" t="str">
        <x:v>Implementation Hooks</x:v>
      </x:c>
      <x:c r="R4" s="57" t="str">
        <x:v>Starter Decks</x:v>
      </x:c>
      <x:c r="S4" s="57" t="str">
        <x:v>Starter Copies</x:v>
      </x:c>
      <x:c r="T4" s="57" t="str">
        <x:v>Source</x:v>
      </x:c>
    </x:row>
    <x:row r="5" ht="30" customHeight="1">
      <x:c r="A5" s="60" t="n">
        <x:v>1</x:v>
      </x:c>
      <x:c r="B5" s="58" t="str">
        <x:v>spicy_sriracharrow</x:v>
      </x:c>
      <x:c r="C5" s="58" t="str">
        <x:v>Sriracharrow</x:v>
      </x:c>
      <x:c r="D5" s="58" t="str">
        <x:v>Sriracha Sparrow</x:v>
      </x:c>
      <x:c r="E5" s="58" t="str">
        <x:v>Meal</x:v>
      </x:c>
      <x:c r="F5" s="58" t="str">
        <x:v>Spicy</x:v>
      </x:c>
      <x:c r="G5" s="61" t="str">
        <x:v>No</x:v>
      </x:c>
      <x:c r="H5" s="61" t="str">
        <x:f>IF(E5="Chef","Mythic",IF(G5="Yes","Rare",IF(OR(E5="Meal",E5="Spice",E5="Environment"),"Uncommon","Common")))</x:f>
        <x:v>Uncommon</x:v>
      </x:c>
      <x:c r="I5" s="60" t="n">
        <x:v>5</x:v>
      </x:c>
      <x:c r="J5" s="60" t="n">
        <x:v>4</x:v>
      </x:c>
      <x:c r="K5" s="58" t="str">
        <x:v>Spicy</x:v>
      </x:c>
      <x:c r="L5" s="60" t="n">
        <x:v>1</x:v>
      </x:c>
      <x:c r="M5" s="60" t="n">
        <x:v>0</x:v>
      </x:c>
      <x:c r="N5" s="60" t="n">
        <x:f>IF(E5="Meal",L5,M5)</x:f>
        <x:v>1</x:v>
      </x:c>
      <x:c r="O5" s="58" t="str"/>
      <x:c r="P5" s="63" t="str"/>
      <x:c r="Q5" s="63" t="str"/>
      <x:c r="R5" s="63" t="str">
        <x:v>Spicy Starter</x:v>
      </x:c>
      <x:c r="S5" s="60" t="n">
        <x:v>2</x:v>
      </x:c>
      <x:c r="T5" s="58" t="str">
        <x:v>data/cards.json</x:v>
      </x:c>
    </x:row>
    <x:row r="6" ht="30" customHeight="1">
      <x:c r="A6" s="60" t="n">
        <x:v>2</x:v>
      </x:c>
      <x:c r="B6" s="58" t="str">
        <x:v>spicy_firecracker_shrimp</x:v>
      </x:c>
      <x:c r="C6" s="58" t="str">
        <x:v>Firecracker Shrimp</x:v>
      </x:c>
      <x:c r="D6" s="58" t="str"/>
      <x:c r="E6" s="58" t="str">
        <x:v>Meal</x:v>
      </x:c>
      <x:c r="F6" s="58" t="str">
        <x:v>Spicy</x:v>
      </x:c>
      <x:c r="G6" s="61" t="str">
        <x:v>No</x:v>
      </x:c>
      <x:c r="H6" s="61" t="str">
        <x:f>IF(E6="Chef","Mythic",IF(G6="Yes","Rare",IF(OR(E6="Meal",E6="Spice",E6="Environment"),"Uncommon","Common")))</x:f>
        <x:v>Uncommon</x:v>
      </x:c>
      <x:c r="I6" s="60" t="n">
        <x:v>7</x:v>
      </x:c>
      <x:c r="J6" s="60" t="n">
        <x:v>5</x:v>
      </x:c>
      <x:c r="K6" s="58" t="str">
        <x:v>Spicy + Spicy</x:v>
      </x:c>
      <x:c r="L6" s="60" t="n">
        <x:v>2</x:v>
      </x:c>
      <x:c r="M6" s="60" t="n">
        <x:v>0</x:v>
      </x:c>
      <x:c r="N6" s="60" t="n">
        <x:f>IF(E6="Meal",L6,M6)</x:f>
        <x:v>2</x:v>
      </x:c>
      <x:c r="O6" s="58" t="str"/>
      <x:c r="P6" s="63" t="str">
        <x:v>When this attacks, deal 2 damage to one opposing card in Prep.</x:v>
      </x:c>
      <x:c r="Q6" s="63" t="str">
        <x:v>on_attack</x:v>
      </x:c>
      <x:c r="R6" s="63" t="str">
        <x:v>Spicy Starter</x:v>
      </x:c>
      <x:c r="S6" s="60" t="n">
        <x:v>2</x:v>
      </x:c>
      <x:c r="T6" s="58" t="str">
        <x:v>data/cards.json</x:v>
      </x:c>
    </x:row>
    <x:row r="7" ht="30" customHeight="1">
      <x:c r="A7" s="60" t="n">
        <x:v>3</x:v>
      </x:c>
      <x:c r="B7" s="58" t="str">
        <x:v>spicy_vindaloo_beluga</x:v>
      </x:c>
      <x:c r="C7" s="58" t="str">
        <x:v>Vindaloo Beluga</x:v>
      </x:c>
      <x:c r="D7" s="58" t="str"/>
      <x:c r="E7" s="58" t="str">
        <x:v>Meal</x:v>
      </x:c>
      <x:c r="F7" s="58" t="str">
        <x:v>Spicy</x:v>
      </x:c>
      <x:c r="G7" s="61" t="str">
        <x:v>Yes</x:v>
      </x:c>
      <x:c r="H7" s="61" t="str">
        <x:f>IF(E7="Chef","Mythic",IF(G7="Yes","Rare",IF(OR(E7="Meal",E7="Spice",E7="Environment"),"Uncommon","Common")))</x:f>
        <x:v>Rare</x:v>
      </x:c>
      <x:c r="I7" s="60" t="n">
        <x:v>3</x:v>
      </x:c>
      <x:c r="J7" s="60" t="n">
        <x:v>3</x:v>
      </x:c>
      <x:c r="K7" s="58" t="str">
        <x:v>Spicy</x:v>
      </x:c>
      <x:c r="L7" s="60" t="n">
        <x:v>1</x:v>
      </x:c>
      <x:c r="M7" s="60" t="n">
        <x:v>0</x:v>
      </x:c>
      <x:c r="N7" s="60" t="n">
        <x:f>IF(E7="Meal",L7,M7)</x:f>
        <x:v>1</x:v>
      </x:c>
      <x:c r="O7" s="58" t="str"/>
      <x:c r="P7" s="63" t="str">
        <x:v>Sacrifice this meal: deal 4 damage to a target opposing Plated unit.</x:v>
      </x:c>
      <x:c r="Q7" s="63" t="str">
        <x:v>abilities</x:v>
      </x:c>
      <x:c r="R7" s="63" t="str"/>
      <x:c r="S7" s="60" t="n">
        <x:v>0</x:v>
      </x:c>
      <x:c r="T7" s="58" t="str">
        <x:v>data/cards.json</x:v>
      </x:c>
    </x:row>
    <x:row r="8" ht="30" customHeight="1">
      <x:c r="A8" s="60" t="n">
        <x:v>4</x:v>
      </x:c>
      <x:c r="B8" s="58" t="str">
        <x:v>spicy_hot_pot_panda</x:v>
      </x:c>
      <x:c r="C8" s="58" t="str">
        <x:v>Hot Pot Panda</x:v>
      </x:c>
      <x:c r="D8" s="58" t="str"/>
      <x:c r="E8" s="58" t="str">
        <x:v>Meal</x:v>
      </x:c>
      <x:c r="F8" s="58" t="str">
        <x:v>Spicy</x:v>
      </x:c>
      <x:c r="G8" s="61" t="str">
        <x:v>Yes</x:v>
      </x:c>
      <x:c r="H8" s="61" t="str">
        <x:f>IF(E8="Chef","Mythic",IF(G8="Yes","Rare",IF(OR(E8="Meal",E8="Spice",E8="Environment"),"Uncommon","Common")))</x:f>
        <x:v>Rare</x:v>
      </x:c>
      <x:c r="I8" s="60" t="n">
        <x:v>6</x:v>
      </x:c>
      <x:c r="J8" s="60" t="n">
        <x:v>6</x:v>
      </x:c>
      <x:c r="K8" s="58" t="str">
        <x:v>Spicy + Spicy</x:v>
      </x:c>
      <x:c r="L8" s="60" t="n">
        <x:v>2</x:v>
      </x:c>
      <x:c r="M8" s="60" t="n">
        <x:v>0</x:v>
      </x:c>
      <x:c r="N8" s="60" t="n">
        <x:f>IF(E8="Meal",L8,M8)</x:f>
        <x:v>2</x:v>
      </x:c>
      <x:c r="O8" s="58" t="str"/>
      <x:c r="P8" s="63" t="str">
        <x:v>Whenever this is dealt damage, deal 1 damage to the opposing chef.</x:v>
      </x:c>
      <x:c r="Q8" s="63" t="str">
        <x:v>on_damaged</x:v>
      </x:c>
      <x:c r="R8" s="63" t="str"/>
      <x:c r="S8" s="60" t="n">
        <x:v>0</x:v>
      </x:c>
      <x:c r="T8" s="58" t="str">
        <x:v>data/cards.json</x:v>
      </x:c>
    </x:row>
    <x:row r="9" ht="30" customHeight="1">
      <x:c r="A9" s="60" t="n">
        <x:v>5</x:v>
      </x:c>
      <x:c r="B9" s="58" t="str">
        <x:v>spicy_buffalo_wings</x:v>
      </x:c>
      <x:c r="C9" s="58" t="str">
        <x:v>Buffalo Wings</x:v>
      </x:c>
      <x:c r="D9" s="58" t="str">
        <x:v>Buffalo</x:v>
      </x:c>
      <x:c r="E9" s="58" t="str">
        <x:v>Meal</x:v>
      </x:c>
      <x:c r="F9" s="58" t="str">
        <x:v>Spicy</x:v>
      </x:c>
      <x:c r="G9" s="61" t="str">
        <x:v>Yes</x:v>
      </x:c>
      <x:c r="H9" s="61" t="str">
        <x:f>IF(E9="Chef","Mythic",IF(G9="Yes","Rare",IF(OR(E9="Meal",E9="Spice",E9="Environment"),"Uncommon","Common")))</x:f>
        <x:v>Rare</x:v>
      </x:c>
      <x:c r="I9" s="60" t="n">
        <x:v>9</x:v>
      </x:c>
      <x:c r="J9" s="60" t="n">
        <x:v>6</x:v>
      </x:c>
      <x:c r="K9" s="58" t="str">
        <x:v>Spicy + Spicy + Spicy</x:v>
      </x:c>
      <x:c r="L9" s="60" t="n">
        <x:v>3</x:v>
      </x:c>
      <x:c r="M9" s="60" t="n">
        <x:v>0</x:v>
      </x:c>
      <x:c r="N9" s="60" t="n">
        <x:f>IF(E9="Meal",L9,M9)</x:f>
        <x:v>3</x:v>
      </x:c>
      <x:c r="O9" s="58" t="str"/>
      <x:c r="P9" s="63" t="str">
        <x:v>When served, deal 1 damage to all enemies.</x:v>
      </x:c>
      <x:c r="Q9" s="63" t="str">
        <x:v>on_play</x:v>
      </x:c>
      <x:c r="R9" s="63" t="str">
        <x:v>Spicy Starter</x:v>
      </x:c>
      <x:c r="S9" s="60" t="n">
        <x:v>1</x:v>
      </x:c>
      <x:c r="T9" s="58" t="str">
        <x:v>data/cards.json</x:v>
      </x:c>
    </x:row>
    <x:row r="10" ht="30" customHeight="1">
      <x:c r="A10" s="60" t="n">
        <x:v>6</x:v>
      </x:c>
      <x:c r="B10" s="58" t="str">
        <x:v>hearty_dumpling_tortoise</x:v>
      </x:c>
      <x:c r="C10" s="58" t="str">
        <x:v>Dumpling-Backed Tortoise</x:v>
      </x:c>
      <x:c r="D10" s="58" t="str"/>
      <x:c r="E10" s="58" t="str">
        <x:v>Meal</x:v>
      </x:c>
      <x:c r="F10" s="58" t="str">
        <x:v>Hearty</x:v>
      </x:c>
      <x:c r="G10" s="61" t="str">
        <x:v>No</x:v>
      </x:c>
      <x:c r="H10" s="61" t="str">
        <x:f>IF(E10="Chef","Mythic",IF(G10="Yes","Rare",IF(OR(E10="Meal",E10="Spice",E10="Environment"),"Uncommon","Common")))</x:f>
        <x:v>Uncommon</x:v>
      </x:c>
      <x:c r="I10" s="60" t="n">
        <x:v>4</x:v>
      </x:c>
      <x:c r="J10" s="60" t="n">
        <x:v>5</x:v>
      </x:c>
      <x:c r="K10" s="58" t="str">
        <x:v>Hearty</x:v>
      </x:c>
      <x:c r="L10" s="60" t="n">
        <x:v>1</x:v>
      </x:c>
      <x:c r="M10" s="60" t="n">
        <x:v>0</x:v>
      </x:c>
      <x:c r="N10" s="60" t="n">
        <x:f>IF(E10="Meal",L10,M10)</x:f>
        <x:v>1</x:v>
      </x:c>
      <x:c r="O10" s="58" t="str"/>
      <x:c r="P10" s="63" t="str"/>
      <x:c r="Q10" s="63" t="str"/>
      <x:c r="R10" s="63" t="str">
        <x:v>Hearty Starter</x:v>
      </x:c>
      <x:c r="S10" s="60" t="n">
        <x:v>2</x:v>
      </x:c>
      <x:c r="T10" s="58" t="str">
        <x:v>data/cards.json</x:v>
      </x:c>
    </x:row>
    <x:row r="11" ht="30" customHeight="1">
      <x:c r="A11" s="60" t="n">
        <x:v>7</x:v>
      </x:c>
      <x:c r="B11" s="58" t="str">
        <x:v>hearty_stewoose</x:v>
      </x:c>
      <x:c r="C11" s="58" t="str">
        <x:v>Stewoose</x:v>
      </x:c>
      <x:c r="D11" s="58" t="str">
        <x:v>Stew Moose</x:v>
      </x:c>
      <x:c r="E11" s="58" t="str">
        <x:v>Meal</x:v>
      </x:c>
      <x:c r="F11" s="58" t="str">
        <x:v>Hearty</x:v>
      </x:c>
      <x:c r="G11" s="61" t="str">
        <x:v>No</x:v>
      </x:c>
      <x:c r="H11" s="61" t="str">
        <x:f>IF(E11="Chef","Mythic",IF(G11="Yes","Rare",IF(OR(E11="Meal",E11="Spice",E11="Environment"),"Uncommon","Common")))</x:f>
        <x:v>Uncommon</x:v>
      </x:c>
      <x:c r="I11" s="60" t="n">
        <x:v>4</x:v>
      </x:c>
      <x:c r="J11" s="60" t="n">
        <x:v>8</x:v>
      </x:c>
      <x:c r="K11" s="58" t="str">
        <x:v>Hearty + Hearty</x:v>
      </x:c>
      <x:c r="L11" s="60" t="n">
        <x:v>2</x:v>
      </x:c>
      <x:c r="M11" s="60" t="n">
        <x:v>0</x:v>
      </x:c>
      <x:c r="N11" s="60" t="n">
        <x:f>IF(E11="Meal",L11,M11)</x:f>
        <x:v>2</x:v>
      </x:c>
      <x:c r="O11" s="58" t="str"/>
      <x:c r="P11" s="63" t="str">
        <x:v>When served, heal your chef for 2.</x:v>
      </x:c>
      <x:c r="Q11" s="63" t="str">
        <x:v>on_play</x:v>
      </x:c>
      <x:c r="R11" s="63" t="str">
        <x:v>Hearty Starter</x:v>
      </x:c>
      <x:c r="S11" s="60" t="n">
        <x:v>2</x:v>
      </x:c>
      <x:c r="T11" s="58" t="str">
        <x:v>data/cards.json</x:v>
      </x:c>
    </x:row>
    <x:row r="12" ht="30" customHeight="1">
      <x:c r="A12" s="60" t="n">
        <x:v>8</x:v>
      </x:c>
      <x:c r="B12" s="58" t="str">
        <x:v>hearty_bison_burrito</x:v>
      </x:c>
      <x:c r="C12" s="58" t="str">
        <x:v>Bison Burrito</x:v>
      </x:c>
      <x:c r="D12" s="58" t="str">
        <x:v>Burrito Bison</x:v>
      </x:c>
      <x:c r="E12" s="58" t="str">
        <x:v>Meal</x:v>
      </x:c>
      <x:c r="F12" s="58" t="str">
        <x:v>Hearty</x:v>
      </x:c>
      <x:c r="G12" s="61" t="str">
        <x:v>Yes</x:v>
      </x:c>
      <x:c r="H12" s="61" t="str">
        <x:f>IF(E12="Chef","Mythic",IF(G12="Yes","Rare",IF(OR(E12="Meal",E12="Spice",E12="Environment"),"Uncommon","Common")))</x:f>
        <x:v>Rare</x:v>
      </x:c>
      <x:c r="I12" s="60" t="n">
        <x:v>3</x:v>
      </x:c>
      <x:c r="J12" s="60" t="n">
        <x:v>3</x:v>
      </x:c>
      <x:c r="K12" s="58" t="str">
        <x:v>Hearty</x:v>
      </x:c>
      <x:c r="L12" s="60" t="n">
        <x:v>1</x:v>
      </x:c>
      <x:c r="M12" s="60" t="n">
        <x:v>0</x:v>
      </x:c>
      <x:c r="N12" s="60" t="n">
        <x:f>IF(E12="Meal",L12,M12)</x:f>
        <x:v>1</x:v>
      </x:c>
      <x:c r="O12" s="58" t="str"/>
      <x:c r="P12" s="63" t="str">
        <x:v>While this is in Prep, your Plated units get +1/+1.</x:v>
      </x:c>
      <x:c r="Q12" s="63" t="str">
        <x:v>auras</x:v>
      </x:c>
      <x:c r="R12" s="63" t="str"/>
      <x:c r="S12" s="60" t="n">
        <x:v>0</x:v>
      </x:c>
      <x:c r="T12" s="58" t="str">
        <x:v>data/cards.json</x:v>
      </x:c>
    </x:row>
    <x:row r="13" ht="30" customHeight="1">
      <x:c r="A13" s="60" t="n">
        <x:v>9</x:v>
      </x:c>
      <x:c r="B13" s="58" t="str">
        <x:v>hearty_mastiff_potato</x:v>
      </x:c>
      <x:c r="C13" s="58" t="str">
        <x:v>Mastiff Potato</x:v>
      </x:c>
      <x:c r="D13" s="58" t="str">
        <x:v>Mastiff Mashed Potato</x:v>
      </x:c>
      <x:c r="E13" s="58" t="str">
        <x:v>Meal</x:v>
      </x:c>
      <x:c r="F13" s="58" t="str">
        <x:v>Hearty</x:v>
      </x:c>
      <x:c r="G13" s="61" t="str">
        <x:v>Yes</x:v>
      </x:c>
      <x:c r="H13" s="61" t="str">
        <x:f>IF(E13="Chef","Mythic",IF(G13="Yes","Rare",IF(OR(E13="Meal",E13="Spice",E13="Environment"),"Uncommon","Common")))</x:f>
        <x:v>Rare</x:v>
      </x:c>
      <x:c r="I13" s="60" t="n">
        <x:v>4</x:v>
      </x:c>
      <x:c r="J13" s="60" t="n">
        <x:v>6</x:v>
      </x:c>
      <x:c r="K13" s="58" t="str">
        <x:v>Hearty + Any</x:v>
      </x:c>
      <x:c r="L13" s="60" t="n">
        <x:v>2</x:v>
      </x:c>
      <x:c r="M13" s="60" t="n">
        <x:v>0</x:v>
      </x:c>
      <x:c r="N13" s="60" t="n">
        <x:f>IF(E13="Meal",L13,M13)</x:f>
        <x:v>2</x:v>
      </x:c>
      <x:c r="O13" s="58" t="str"/>
      <x:c r="P13" s="63" t="str">
        <x:v>The first time this moves from Prep to Plated, it gets +2/+2.</x:v>
      </x:c>
      <x:c r="Q13" s="63" t="str">
        <x:v>on_move_to_plated</x:v>
      </x:c>
      <x:c r="R13" s="63" t="str"/>
      <x:c r="S13" s="60" t="n">
        <x:v>0</x:v>
      </x:c>
      <x:c r="T13" s="58" t="str">
        <x:v>data/cards.json</x:v>
      </x:c>
    </x:row>
    <x:row r="14" ht="30" customHeight="1">
      <x:c r="A14" s="60" t="n">
        <x:v>10</x:v>
      </x:c>
      <x:c r="B14" s="58" t="str">
        <x:v>hearty_polar_pot_pie_bear</x:v>
      </x:c>
      <x:c r="C14" s="58" t="str">
        <x:v>Polar Pot Pie Bear</x:v>
      </x:c>
      <x:c r="D14" s="58" t="str">
        <x:v>Pot Pie Polar Bear</x:v>
      </x:c>
      <x:c r="E14" s="58" t="str">
        <x:v>Meal</x:v>
      </x:c>
      <x:c r="F14" s="58" t="str">
        <x:v>Hearty</x:v>
      </x:c>
      <x:c r="G14" s="61" t="str">
        <x:v>Yes</x:v>
      </x:c>
      <x:c r="H14" s="61" t="str">
        <x:f>IF(E14="Chef","Mythic",IF(G14="Yes","Rare",IF(OR(E14="Meal",E14="Spice",E14="Environment"),"Uncommon","Common")))</x:f>
        <x:v>Rare</x:v>
      </x:c>
      <x:c r="I14" s="60" t="n">
        <x:v>8</x:v>
      </x:c>
      <x:c r="J14" s="60" t="n">
        <x:v>8</x:v>
      </x:c>
      <x:c r="K14" s="58" t="str">
        <x:v>Hearty + Hearty + Hearty</x:v>
      </x:c>
      <x:c r="L14" s="60" t="n">
        <x:v>3</x:v>
      </x:c>
      <x:c r="M14" s="60" t="n">
        <x:v>0</x:v>
      </x:c>
      <x:c r="N14" s="60" t="n">
        <x:f>IF(E14="Meal",L14,M14)</x:f>
        <x:v>3</x:v>
      </x:c>
      <x:c r="O14" s="58" t="str"/>
      <x:c r="P14" s="63" t="str">
        <x:v>While Plated, once per turn heal 1 damage from each other friendly unit.</x:v>
      </x:c>
      <x:c r="Q14" s="63" t="str">
        <x:v>abilities</x:v>
      </x:c>
      <x:c r="R14" s="63" t="str">
        <x:v>Hearty Starter</x:v>
      </x:c>
      <x:c r="S14" s="60" t="n">
        <x:v>1</x:v>
      </x:c>
      <x:c r="T14" s="58" t="str">
        <x:v>data/cards.json</x:v>
      </x:c>
    </x:row>
    <x:row r="15" ht="30" customHeight="1">
      <x:c r="A15" s="60" t="n">
        <x:v>11</x:v>
      </x:c>
      <x:c r="B15" s="58" t="str">
        <x:v>sweet_pup_tart</x:v>
      </x:c>
      <x:c r="C15" s="58" t="str">
        <x:v>Pup Tart</x:v>
      </x:c>
      <x:c r="D15" s="58" t="str"/>
      <x:c r="E15" s="58" t="str">
        <x:v>Meal</x:v>
      </x:c>
      <x:c r="F15" s="58" t="str">
        <x:v>Sweet</x:v>
      </x:c>
      <x:c r="G15" s="61" t="str">
        <x:v>No</x:v>
      </x:c>
      <x:c r="H15" s="61" t="str">
        <x:f>IF(E15="Chef","Mythic",IF(G15="Yes","Rare",IF(OR(E15="Meal",E15="Spice",E15="Environment"),"Uncommon","Common")))</x:f>
        <x:v>Uncommon</x:v>
      </x:c>
      <x:c r="I15" s="60" t="n">
        <x:v>4</x:v>
      </x:c>
      <x:c r="J15" s="60" t="n">
        <x:v>5</x:v>
      </x:c>
      <x:c r="K15" s="58" t="str">
        <x:v>Sweet</x:v>
      </x:c>
      <x:c r="L15" s="60" t="n">
        <x:v>1</x:v>
      </x:c>
      <x:c r="M15" s="60" t="n">
        <x:v>0</x:v>
      </x:c>
      <x:c r="N15" s="60" t="n">
        <x:f>IF(E15="Meal",L15,M15)</x:f>
        <x:v>1</x:v>
      </x:c>
      <x:c r="O15" s="58" t="str"/>
      <x:c r="P15" s="63" t="str"/>
      <x:c r="Q15" s="63" t="str"/>
      <x:c r="R15" s="63" t="str">
        <x:v>Sweet Starter</x:v>
      </x:c>
      <x:c r="S15" s="60" t="n">
        <x:v>1</x:v>
      </x:c>
      <x:c r="T15" s="58" t="str">
        <x:v>data/cards.json</x:v>
      </x:c>
    </x:row>
    <x:row r="16" ht="30" customHeight="1">
      <x:c r="A16" s="60" t="n">
        <x:v>12</x:v>
      </x:c>
      <x:c r="B16" s="58" t="str">
        <x:v>sweet_strawberry_sharkcake</x:v>
      </x:c>
      <x:c r="C16" s="58" t="str">
        <x:v>Strawberry Sharkcake</x:v>
      </x:c>
      <x:c r="D16" s="58" t="str">
        <x:v>Shortcake Shark</x:v>
      </x:c>
      <x:c r="E16" s="58" t="str">
        <x:v>Meal</x:v>
      </x:c>
      <x:c r="F16" s="58" t="str">
        <x:v>Sweet</x:v>
      </x:c>
      <x:c r="G16" s="61" t="str">
        <x:v>No</x:v>
      </x:c>
      <x:c r="H16" s="61" t="str">
        <x:f>IF(E16="Chef","Mythic",IF(G16="Yes","Rare",IF(OR(E16="Meal",E16="Spice",E16="Environment"),"Uncommon","Common")))</x:f>
        <x:v>Uncommon</x:v>
      </x:c>
      <x:c r="I16" s="60" t="n">
        <x:v>5</x:v>
      </x:c>
      <x:c r="J16" s="60" t="n">
        <x:v>6</x:v>
      </x:c>
      <x:c r="K16" s="58" t="str">
        <x:v>Sweet + Sweet</x:v>
      </x:c>
      <x:c r="L16" s="60" t="n">
        <x:v>2</x:v>
      </x:c>
      <x:c r="M16" s="60" t="n">
        <x:v>0</x:v>
      </x:c>
      <x:c r="N16" s="60" t="n">
        <x:f>IF(E16="Meal",L16,M16)</x:f>
        <x:v>2</x:v>
      </x:c>
      <x:c r="O16" s="58" t="str"/>
      <x:c r="P16" s="63" t="str">
        <x:v>When served, draw 2 cards.</x:v>
      </x:c>
      <x:c r="Q16" s="63" t="str">
        <x:v>on_play</x:v>
      </x:c>
      <x:c r="R16" s="63" t="str">
        <x:v>Sweet Starter</x:v>
      </x:c>
      <x:c r="S16" s="60" t="n">
        <x:v>2</x:v>
      </x:c>
      <x:c r="T16" s="58" t="str">
        <x:v>data/cards.json</x:v>
      </x:c>
    </x:row>
    <x:row r="17" ht="30" customHeight="1">
      <x:c r="A17" s="60" t="n">
        <x:v>13</x:v>
      </x:c>
      <x:c r="B17" s="58" t="str">
        <x:v>sweet_donutphin</x:v>
      </x:c>
      <x:c r="C17" s="58" t="str">
        <x:v>Donutphin</x:v>
      </x:c>
      <x:c r="D17" s="58" t="str">
        <x:v>Donut Dolphin</x:v>
      </x:c>
      <x:c r="E17" s="58" t="str">
        <x:v>Meal</x:v>
      </x:c>
      <x:c r="F17" s="58" t="str">
        <x:v>Sweet</x:v>
      </x:c>
      <x:c r="G17" s="61" t="str">
        <x:v>Yes</x:v>
      </x:c>
      <x:c r="H17" s="61" t="str">
        <x:f>IF(E17="Chef","Mythic",IF(G17="Yes","Rare",IF(OR(E17="Meal",E17="Spice",E17="Environment"),"Uncommon","Common")))</x:f>
        <x:v>Rare</x:v>
      </x:c>
      <x:c r="I17" s="60" t="n">
        <x:v>3</x:v>
      </x:c>
      <x:c r="J17" s="60" t="n">
        <x:v>4</x:v>
      </x:c>
      <x:c r="K17" s="58" t="str">
        <x:v>Sweet</x:v>
      </x:c>
      <x:c r="L17" s="60" t="n">
        <x:v>1</x:v>
      </x:c>
      <x:c r="M17" s="60" t="n">
        <x:v>0</x:v>
      </x:c>
      <x:c r="N17" s="60" t="n">
        <x:f>IF(E17="Meal",L17,M17)</x:f>
        <x:v>1</x:v>
      </x:c>
      <x:c r="O17" s="58" t="str"/>
      <x:c r="P17" s="63" t="str">
        <x:v>When this deals combat damage to the opposing chef, they cannot use a Chef next turn.</x:v>
      </x:c>
      <x:c r="Q17" s="63" t="str">
        <x:v>on_combat_damage_to_chef</x:v>
      </x:c>
      <x:c r="R17" s="63" t="str"/>
      <x:c r="S17" s="60" t="n">
        <x:v>0</x:v>
      </x:c>
      <x:c r="T17" s="58" t="str">
        <x:v>data/cards.json</x:v>
      </x:c>
    </x:row>
    <x:row r="18" ht="30" customHeight="1">
      <x:c r="A18" s="60" t="n">
        <x:v>14</x:v>
      </x:c>
      <x:c r="B18" s="58" t="str">
        <x:v>sweet_pandacake</x:v>
      </x:c>
      <x:c r="C18" s="58" t="str">
        <x:v>Pandacake</x:v>
      </x:c>
      <x:c r="D18" s="58" t="str">
        <x:v>Pancake Panda</x:v>
      </x:c>
      <x:c r="E18" s="58" t="str">
        <x:v>Meal</x:v>
      </x:c>
      <x:c r="F18" s="58" t="str">
        <x:v>Sweet</x:v>
      </x:c>
      <x:c r="G18" s="61" t="str">
        <x:v>Yes</x:v>
      </x:c>
      <x:c r="H18" s="61" t="str">
        <x:f>IF(E18="Chef","Mythic",IF(G18="Yes","Rare",IF(OR(E18="Meal",E18="Spice",E18="Environment"),"Uncommon","Common")))</x:f>
        <x:v>Rare</x:v>
      </x:c>
      <x:c r="I18" s="60" t="n">
        <x:v>5</x:v>
      </x:c>
      <x:c r="J18" s="60" t="n">
        <x:v>6</x:v>
      </x:c>
      <x:c r="K18" s="58" t="str">
        <x:v>Sweet + Sweet</x:v>
      </x:c>
      <x:c r="L18" s="60" t="n">
        <x:v>2</x:v>
      </x:c>
      <x:c r="M18" s="60" t="n">
        <x:v>0</x:v>
      </x:c>
      <x:c r="N18" s="60" t="n">
        <x:f>IF(E18="Meal",L18,M18)</x:f>
        <x:v>2</x:v>
      </x:c>
      <x:c r="O18" s="58" t="str"/>
      <x:c r="P18" s="63" t="str">
        <x:v>While this is in Prep, your other Plated units have +2 Health.</x:v>
      </x:c>
      <x:c r="Q18" s="63" t="str">
        <x:v>auras</x:v>
      </x:c>
      <x:c r="R18" s="63" t="str"/>
      <x:c r="S18" s="60" t="n">
        <x:v>0</x:v>
      </x:c>
      <x:c r="T18" s="58" t="str">
        <x:v>data/cards.json</x:v>
      </x:c>
    </x:row>
    <x:row r="19" ht="45" customHeight="1">
      <x:c r="A19" s="60" t="n">
        <x:v>15</x:v>
      </x:c>
      <x:c r="B19" s="58" t="str">
        <x:v>sweet_cinnamon_snail</x:v>
      </x:c>
      <x:c r="C19" s="58" t="str">
        <x:v>Cinnamon Snail</x:v>
      </x:c>
      <x:c r="D19" s="58" t="str">
        <x:v>Cinnamon Roll Snail</x:v>
      </x:c>
      <x:c r="E19" s="58" t="str">
        <x:v>Meal</x:v>
      </x:c>
      <x:c r="F19" s="58" t="str">
        <x:v>Sweet</x:v>
      </x:c>
      <x:c r="G19" s="61" t="str">
        <x:v>Yes</x:v>
      </x:c>
      <x:c r="H19" s="61" t="str">
        <x:f>IF(E19="Chef","Mythic",IF(G19="Yes","Rare",IF(OR(E19="Meal",E19="Spice",E19="Environment"),"Uncommon","Common")))</x:f>
        <x:v>Rare</x:v>
      </x:c>
      <x:c r="I19" s="60" t="n">
        <x:v>4</x:v>
      </x:c>
      <x:c r="J19" s="60" t="n">
        <x:v>6</x:v>
      </x:c>
      <x:c r="K19" s="58" t="str">
        <x:v>Sweet + Sweet</x:v>
      </x:c>
      <x:c r="L19" s="60" t="n">
        <x:v>2</x:v>
      </x:c>
      <x:c r="M19" s="60" t="n">
        <x:v>0</x:v>
      </x:c>
      <x:c r="N19" s="60" t="n">
        <x:f>IF(E19="Meal",L19,M19)</x:f>
        <x:v>2</x:v>
      </x:c>
      <x:c r="O19" s="58" t="str"/>
      <x:c r="P19" s="63" t="str">
        <x:v>While this is Plated, opposing Meals require 1 additional Ingredient and opposing healing is reduced by 2.</x:v>
      </x:c>
      <x:c r="Q19" s="63" t="str">
        <x:v>auras, opponent_healing_reduction</x:v>
      </x:c>
      <x:c r="R19" s="63" t="str">
        <x:v>Sweet Starter</x:v>
      </x:c>
      <x:c r="S19" s="60" t="n">
        <x:v>2</x:v>
      </x:c>
      <x:c r="T19" s="58" t="str">
        <x:v>data/cards.json</x:v>
      </x:c>
    </x:row>
    <x:row r="20" ht="30" customHeight="1">
      <x:c r="A20" s="60" t="n">
        <x:v>16</x:v>
      </x:c>
      <x:c r="B20" s="58" t="str">
        <x:v>sweet_parfait_parrot</x:v>
      </x:c>
      <x:c r="C20" s="58" t="str">
        <x:v>Parfait Parrot</x:v>
      </x:c>
      <x:c r="D20" s="58" t="str"/>
      <x:c r="E20" s="58" t="str">
        <x:v>Meal</x:v>
      </x:c>
      <x:c r="F20" s="58" t="str">
        <x:v>Sweet</x:v>
      </x:c>
      <x:c r="G20" s="61" t="str">
        <x:v>Yes</x:v>
      </x:c>
      <x:c r="H20" s="61" t="str">
        <x:f>IF(E20="Chef","Mythic",IF(G20="Yes","Rare",IF(OR(E20="Meal",E20="Spice",E20="Environment"),"Uncommon","Common")))</x:f>
        <x:v>Rare</x:v>
      </x:c>
      <x:c r="I20" s="60" t="n">
        <x:v>4</x:v>
      </x:c>
      <x:c r="J20" s="60" t="n">
        <x:v>5</x:v>
      </x:c>
      <x:c r="K20" s="58" t="str">
        <x:v>Sweet + Sweet</x:v>
      </x:c>
      <x:c r="L20" s="60" t="n">
        <x:v>2</x:v>
      </x:c>
      <x:c r="M20" s="60" t="n">
        <x:v>0</x:v>
      </x:c>
      <x:c r="N20" s="60" t="n">
        <x:f>IF(E20="Meal",L20,M20)</x:f>
        <x:v>2</x:v>
      </x:c>
      <x:c r="O20" s="58" t="str"/>
      <x:c r="P20" s="63" t="str">
        <x:v>At the end of your turn, if this is Plated, draw 1 card.</x:v>
      </x:c>
      <x:c r="Q20" s="63" t="str">
        <x:v>on_end_turn, end_turn_zone</x:v>
      </x:c>
      <x:c r="R20" s="63" t="str"/>
      <x:c r="S20" s="60" t="n">
        <x:v>0</x:v>
      </x:c>
      <x:c r="T20" s="58" t="str">
        <x:v>data/cards.json</x:v>
      </x:c>
    </x:row>
    <x:row r="21" ht="30" customHeight="1">
      <x:c r="A21" s="60" t="n">
        <x:v>17</x:v>
      </x:c>
      <x:c r="B21" s="58" t="str">
        <x:v>hearty_gravy_gazelle</x:v>
      </x:c>
      <x:c r="C21" s="58" t="str">
        <x:v>Gravy Gazelle</x:v>
      </x:c>
      <x:c r="D21" s="58" t="str"/>
      <x:c r="E21" s="58" t="str">
        <x:v>Meal</x:v>
      </x:c>
      <x:c r="F21" s="58" t="str">
        <x:v>Hearty</x:v>
      </x:c>
      <x:c r="G21" s="61" t="str">
        <x:v>No</x:v>
      </x:c>
      <x:c r="H21" s="61" t="str">
        <x:f>IF(E21="Chef","Mythic",IF(G21="Yes","Rare",IF(OR(E21="Meal",E21="Spice",E21="Environment"),"Uncommon","Common")))</x:f>
        <x:v>Uncommon</x:v>
      </x:c>
      <x:c r="I21" s="60" t="n">
        <x:v>3</x:v>
      </x:c>
      <x:c r="J21" s="60" t="n">
        <x:v>5</x:v>
      </x:c>
      <x:c r="K21" s="58" t="str">
        <x:v>Hearty</x:v>
      </x:c>
      <x:c r="L21" s="60" t="n">
        <x:v>1</x:v>
      </x:c>
      <x:c r="M21" s="60" t="n">
        <x:v>0</x:v>
      </x:c>
      <x:c r="N21" s="60" t="n">
        <x:f>IF(E21="Meal",L21,M21)</x:f>
        <x:v>1</x:v>
      </x:c>
      <x:c r="O21" s="58" t="str"/>
      <x:c r="P21" s="63" t="str">
        <x:v>While Plated, once per turn give a friendly Plated unit +1/+1.</x:v>
      </x:c>
      <x:c r="Q21" s="63" t="str">
        <x:v>abilities</x:v>
      </x:c>
      <x:c r="R21" s="63" t="str"/>
      <x:c r="S21" s="60" t="n">
        <x:v>0</x:v>
      </x:c>
      <x:c r="T21" s="58" t="str">
        <x:v>data/cards.json</x:v>
      </x:c>
    </x:row>
    <x:row r="22" ht="60" customHeight="1">
      <x:c r="A22" s="60" t="n">
        <x:v>18</x:v>
      </x:c>
      <x:c r="B22" s="58" t="str">
        <x:v>fresh_harvest_hydra</x:v>
      </x:c>
      <x:c r="C22" s="58" t="str">
        <x:v>Harvest Hydra</x:v>
      </x:c>
      <x:c r="D22" s="58" t="str"/>
      <x:c r="E22" s="58" t="str">
        <x:v>Meal</x:v>
      </x:c>
      <x:c r="F22" s="58" t="str">
        <x:v>Fresh</x:v>
      </x:c>
      <x:c r="G22" s="61" t="str">
        <x:v>Yes</x:v>
      </x:c>
      <x:c r="H22" s="61" t="str">
        <x:f>IF(E22="Chef","Mythic",IF(G22="Yes","Rare",IF(OR(E22="Meal",E22="Spice",E22="Environment"),"Uncommon","Common")))</x:f>
        <x:v>Rare</x:v>
      </x:c>
      <x:c r="I22" s="60" t="n">
        <x:v>2</x:v>
      </x:c>
      <x:c r="J22" s="60" t="n">
        <x:v>2</x:v>
      </x:c>
      <x:c r="K22" s="58" t="str">
        <x:v>Fresh</x:v>
      </x:c>
      <x:c r="L22" s="60" t="n">
        <x:v>1</x:v>
      </x:c>
      <x:c r="M22" s="60" t="n">
        <x:v>0</x:v>
      </x:c>
      <x:c r="N22" s="60" t="n">
        <x:f>IF(E22="Meal",L22,M22)</x:f>
        <x:v>1</x:v>
      </x:c>
      <x:c r="O22" s="58" t="str"/>
      <x:c r="P22" s="63" t="str">
        <x:v>To serve this, also sacrifice a Fresh Meal. When served, sacrifice all your other units; this gains their combined Attack and maximum Health, including the units used to serve it.</x:v>
      </x:c>
      <x:c r="Q22" s="63" t="str">
        <x:v>required_meal_archetype, on_play</x:v>
      </x:c>
      <x:c r="R22" s="63" t="str">
        <x:v>Fresh Starter</x:v>
      </x:c>
      <x:c r="S22" s="60" t="n">
        <x:v>1</x:v>
      </x:c>
      <x:c r="T22" s="58" t="str">
        <x:v>data/cards.json</x:v>
      </x:c>
    </x:row>
    <x:row r="23" ht="30" customHeight="1">
      <x:c r="A23" s="60" t="n">
        <x:v>19</x:v>
      </x:c>
      <x:c r="B23" s="58" t="str">
        <x:v>fresh_garden_gorilla</x:v>
      </x:c>
      <x:c r="C23" s="58" t="str">
        <x:v>Garden Gorilla</x:v>
      </x:c>
      <x:c r="D23" s="58" t="str"/>
      <x:c r="E23" s="58" t="str">
        <x:v>Meal</x:v>
      </x:c>
      <x:c r="F23" s="58" t="str">
        <x:v>Fresh</x:v>
      </x:c>
      <x:c r="G23" s="61" t="str">
        <x:v>No</x:v>
      </x:c>
      <x:c r="H23" s="61" t="str">
        <x:f>IF(E23="Chef","Mythic",IF(G23="Yes","Rare",IF(OR(E23="Meal",E23="Spice",E23="Environment"),"Uncommon","Common")))</x:f>
        <x:v>Uncommon</x:v>
      </x:c>
      <x:c r="I23" s="60" t="n">
        <x:v>3</x:v>
      </x:c>
      <x:c r="J23" s="60" t="n">
        <x:v>5</x:v>
      </x:c>
      <x:c r="K23" s="58" t="str">
        <x:v>Fresh + Fresh</x:v>
      </x:c>
      <x:c r="L23" s="60" t="n">
        <x:v>2</x:v>
      </x:c>
      <x:c r="M23" s="60" t="n">
        <x:v>0</x:v>
      </x:c>
      <x:c r="N23" s="60" t="n">
        <x:f>IF(E23="Meal",L23,M23)</x:f>
        <x:v>2</x:v>
      </x:c>
      <x:c r="O23" s="58" t="str"/>
      <x:c r="P23" s="63" t="str">
        <x:v>This gets +2 Attack for each other Fresh unit in your Prep area.</x:v>
      </x:c>
      <x:c r="Q23" s="63" t="str">
        <x:v>self_attack_per_friendly_prep_archetype, count_archetype</x:v>
      </x:c>
      <x:c r="R23" s="63" t="str">
        <x:v>Fresh Starter</x:v>
      </x:c>
      <x:c r="S23" s="60" t="n">
        <x:v>2</x:v>
      </x:c>
      <x:c r="T23" s="58" t="str">
        <x:v>data/cards.json</x:v>
      </x:c>
    </x:row>
    <x:row r="24" ht="30" customHeight="1">
      <x:c r="A24" s="60" t="n">
        <x:v>20</x:v>
      </x:c>
      <x:c r="B24" s="58" t="str">
        <x:v>fresh_saladmander</x:v>
      </x:c>
      <x:c r="C24" s="58" t="str">
        <x:v>Saladmander</x:v>
      </x:c>
      <x:c r="D24" s="58" t="str">
        <x:v>Salad Salamander</x:v>
      </x:c>
      <x:c r="E24" s="58" t="str">
        <x:v>Meal</x:v>
      </x:c>
      <x:c r="F24" s="58" t="str">
        <x:v>Fresh</x:v>
      </x:c>
      <x:c r="G24" s="61" t="str">
        <x:v>No</x:v>
      </x:c>
      <x:c r="H24" s="61" t="str">
        <x:f>IF(E24="Chef","Mythic",IF(G24="Yes","Rare",IF(OR(E24="Meal",E24="Spice",E24="Environment"),"Uncommon","Common")))</x:f>
        <x:v>Uncommon</x:v>
      </x:c>
      <x:c r="I24" s="60" t="n">
        <x:v>4</x:v>
      </x:c>
      <x:c r="J24" s="60" t="n">
        <x:v>5</x:v>
      </x:c>
      <x:c r="K24" s="58" t="str">
        <x:v>Fresh</x:v>
      </x:c>
      <x:c r="L24" s="60" t="n">
        <x:v>1</x:v>
      </x:c>
      <x:c r="M24" s="60" t="n">
        <x:v>0</x:v>
      </x:c>
      <x:c r="N24" s="60" t="n">
        <x:f>IF(E24="Meal",L24,M24)</x:f>
        <x:v>1</x:v>
      </x:c>
      <x:c r="O24" s="58" t="str"/>
      <x:c r="P24" s="63" t="str"/>
      <x:c r="Q24" s="63" t="str"/>
      <x:c r="R24" s="63" t="str">
        <x:v>Fresh Starter</x:v>
      </x:c>
      <x:c r="S24" s="60" t="n">
        <x:v>2</x:v>
      </x:c>
      <x:c r="T24" s="58" t="str">
        <x:v>data/cards.json</x:v>
      </x:c>
    </x:row>
    <x:row r="25" ht="30" customHeight="1">
      <x:c r="A25" s="60" t="n">
        <x:v>21</x:v>
      </x:c>
      <x:c r="B25" s="58" t="str">
        <x:v>spicy_pepper_pike</x:v>
      </x:c>
      <x:c r="C25" s="58" t="str">
        <x:v>Pepper Pike</x:v>
      </x:c>
      <x:c r="D25" s="58" t="str"/>
      <x:c r="E25" s="58" t="str">
        <x:v>Meal</x:v>
      </x:c>
      <x:c r="F25" s="58" t="str">
        <x:v>Spicy</x:v>
      </x:c>
      <x:c r="G25" s="61" t="str">
        <x:v>No</x:v>
      </x:c>
      <x:c r="H25" s="61" t="str">
        <x:f>IF(E25="Chef","Mythic",IF(G25="Yes","Rare",IF(OR(E25="Meal",E25="Spice",E25="Environment"),"Uncommon","Common")))</x:f>
        <x:v>Uncommon</x:v>
      </x:c>
      <x:c r="I25" s="60" t="n">
        <x:v>4</x:v>
      </x:c>
      <x:c r="J25" s="60" t="n">
        <x:v>3</x:v>
      </x:c>
      <x:c r="K25" s="58" t="str">
        <x:v>Spicy</x:v>
      </x:c>
      <x:c r="L25" s="60" t="n">
        <x:v>1</x:v>
      </x:c>
      <x:c r="M25" s="60" t="n">
        <x:v>0</x:v>
      </x:c>
      <x:c r="N25" s="60" t="n">
        <x:f>IF(E25="Meal",L25,M25)</x:f>
        <x:v>1</x:v>
      </x:c>
      <x:c r="O25" s="58" t="str"/>
      <x:c r="P25" s="63" t="str">
        <x:v>While Plated, once per turn deal 1 damage to an opposing Meal.</x:v>
      </x:c>
      <x:c r="Q25" s="63" t="str">
        <x:v>abilities</x:v>
      </x:c>
      <x:c r="R25" s="63" t="str"/>
      <x:c r="S25" s="60" t="n">
        <x:v>0</x:v>
      </x:c>
      <x:c r="T25" s="58" t="str">
        <x:v>data/cards.json</x:v>
      </x:c>
    </x:row>
    <x:row r="26" ht="30" customHeight="1">
      <x:c r="A26" s="60" t="n">
        <x:v>22</x:v>
      </x:c>
      <x:c r="B26" s="58" t="str">
        <x:v>hearty_meatloaf_mole</x:v>
      </x:c>
      <x:c r="C26" s="58" t="str">
        <x:v>Meatloaf Mole</x:v>
      </x:c>
      <x:c r="D26" s="58" t="str"/>
      <x:c r="E26" s="58" t="str">
        <x:v>Meal</x:v>
      </x:c>
      <x:c r="F26" s="58" t="str">
        <x:v>Hearty</x:v>
      </x:c>
      <x:c r="G26" s="61" t="str">
        <x:v>Yes</x:v>
      </x:c>
      <x:c r="H26" s="61" t="str">
        <x:f>IF(E26="Chef","Mythic",IF(G26="Yes","Rare",IF(OR(E26="Meal",E26="Spice",E26="Environment"),"Uncommon","Common")))</x:f>
        <x:v>Rare</x:v>
      </x:c>
      <x:c r="I26" s="60" t="n">
        <x:v>5</x:v>
      </x:c>
      <x:c r="J26" s="60" t="n">
        <x:v>6</x:v>
      </x:c>
      <x:c r="K26" s="58" t="str">
        <x:v>Hearty + Hearty</x:v>
      </x:c>
      <x:c r="L26" s="60" t="n">
        <x:v>2</x:v>
      </x:c>
      <x:c r="M26" s="60" t="n">
        <x:v>0</x:v>
      </x:c>
      <x:c r="N26" s="60" t="n">
        <x:f>IF(E26="Meal",L26,M26)</x:f>
        <x:v>2</x:v>
      </x:c>
      <x:c r="O26" s="58" t="str"/>
      <x:c r="P26" s="63" t="str">
        <x:v>When this KOs an opposing unit, heal 2 damage from this.</x:v>
      </x:c>
      <x:c r="Q26" s="63" t="str">
        <x:v>on_ko_enemy</x:v>
      </x:c>
      <x:c r="R26" s="63" t="str"/>
      <x:c r="S26" s="60" t="n">
        <x:v>0</x:v>
      </x:c>
      <x:c r="T26" s="58" t="str">
        <x:v>data/cards.json</x:v>
      </x:c>
    </x:row>
    <x:row r="27" ht="30" customHeight="1">
      <x:c r="A27" s="60" t="n">
        <x:v>23</x:v>
      </x:c>
      <x:c r="B27" s="58" t="str">
        <x:v>hearty_broth_buffalo</x:v>
      </x:c>
      <x:c r="C27" s="58" t="str">
        <x:v>Broth Buffalo</x:v>
      </x:c>
      <x:c r="D27" s="58" t="str"/>
      <x:c r="E27" s="58" t="str">
        <x:v>Meal</x:v>
      </x:c>
      <x:c r="F27" s="58" t="str">
        <x:v>Hearty</x:v>
      </x:c>
      <x:c r="G27" s="61" t="str">
        <x:v>Yes</x:v>
      </x:c>
      <x:c r="H27" s="61" t="str">
        <x:f>IF(E27="Chef","Mythic",IF(G27="Yes","Rare",IF(OR(E27="Meal",E27="Spice",E27="Environment"),"Uncommon","Common")))</x:f>
        <x:v>Rare</x:v>
      </x:c>
      <x:c r="I27" s="60" t="n">
        <x:v>4</x:v>
      </x:c>
      <x:c r="J27" s="60" t="n">
        <x:v>7</x:v>
      </x:c>
      <x:c r="K27" s="58" t="str">
        <x:v>Hearty + Hearty</x:v>
      </x:c>
      <x:c r="L27" s="60" t="n">
        <x:v>2</x:v>
      </x:c>
      <x:c r="M27" s="60" t="n">
        <x:v>0</x:v>
      </x:c>
      <x:c r="N27" s="60" t="n">
        <x:f>IF(E27="Meal",L27,M27)</x:f>
        <x:v>2</x:v>
      </x:c>
      <x:c r="O27" s="58" t="str"/>
      <x:c r="P27" s="63" t="str">
        <x:v>While Plated, once per turn heal 2 damage from a friendly unit.</x:v>
      </x:c>
      <x:c r="Q27" s="63" t="str">
        <x:v>abilities</x:v>
      </x:c>
      <x:c r="R27" s="63" t="str"/>
      <x:c r="S27" s="60" t="n">
        <x:v>0</x:v>
      </x:c>
      <x:c r="T27" s="58" t="str">
        <x:v>data/cards.json</x:v>
      </x:c>
    </x:row>
    <x:row r="28" ht="30" customHeight="1">
      <x:c r="A28" s="60" t="n">
        <x:v>24</x:v>
      </x:c>
      <x:c r="B28" s="58" t="str">
        <x:v>funky_remix_raccoon</x:v>
      </x:c>
      <x:c r="C28" s="58" t="str">
        <x:v>Remix Raccoon</x:v>
      </x:c>
      <x:c r="D28" s="58" t="str"/>
      <x:c r="E28" s="58" t="str">
        <x:v>Meal</x:v>
      </x:c>
      <x:c r="F28" s="58" t="str">
        <x:v>Funky</x:v>
      </x:c>
      <x:c r="G28" s="61" t="str">
        <x:v>Yes</x:v>
      </x:c>
      <x:c r="H28" s="61" t="str">
        <x:f>IF(E28="Chef","Mythic",IF(G28="Yes","Rare",IF(OR(E28="Meal",E28="Spice",E28="Environment"),"Uncommon","Common")))</x:f>
        <x:v>Rare</x:v>
      </x:c>
      <x:c r="I28" s="60" t="n">
        <x:v>4</x:v>
      </x:c>
      <x:c r="J28" s="60" t="n">
        <x:v>6</x:v>
      </x:c>
      <x:c r="K28" s="58" t="str">
        <x:v>Funky + Funky + Funky</x:v>
      </x:c>
      <x:c r="L28" s="60" t="n">
        <x:v>3</x:v>
      </x:c>
      <x:c r="M28" s="60" t="n">
        <x:v>0</x:v>
      </x:c>
      <x:c r="N28" s="60" t="n">
        <x:f>IF(E28="Meal",L28,M28)</x:f>
        <x:v>3</x:v>
      </x:c>
      <x:c r="O28" s="58" t="str"/>
      <x:c r="P28" s="63" t="str">
        <x:v>Once per turn, copy the activated ability of another unit in your Prep area and pay its costs.</x:v>
      </x:c>
      <x:c r="Q28" s="63" t="str">
        <x:v>abilities</x:v>
      </x:c>
      <x:c r="R28" s="63" t="str">
        <x:v>Funky Starter</x:v>
      </x:c>
      <x:c r="S28" s="60" t="n">
        <x:v>2</x:v>
      </x:c>
      <x:c r="T28" s="58" t="str">
        <x:v>data/cards.json</x:v>
      </x:c>
    </x:row>
    <x:row r="29" ht="30" customHeight="1">
      <x:c r="A29" s="60" t="n">
        <x:v>25</x:v>
      </x:c>
      <x:c r="B29" s="58" t="str">
        <x:v>funky_leftover_lynx</x:v>
      </x:c>
      <x:c r="C29" s="58" t="str">
        <x:v>Leftover Lynx</x:v>
      </x:c>
      <x:c r="D29" s="58" t="str"/>
      <x:c r="E29" s="58" t="str">
        <x:v>Meal</x:v>
      </x:c>
      <x:c r="F29" s="58" t="str">
        <x:v>Funky</x:v>
      </x:c>
      <x:c r="G29" s="61" t="str">
        <x:v>No</x:v>
      </x:c>
      <x:c r="H29" s="61" t="str">
        <x:f>IF(E29="Chef","Mythic",IF(G29="Yes","Rare",IF(OR(E29="Meal",E29="Spice",E29="Environment"),"Uncommon","Common")))</x:f>
        <x:v>Uncommon</x:v>
      </x:c>
      <x:c r="I29" s="60" t="n">
        <x:v>4</x:v>
      </x:c>
      <x:c r="J29" s="60" t="n">
        <x:v>6</x:v>
      </x:c>
      <x:c r="K29" s="58" t="str">
        <x:v>Funky + Funky</x:v>
      </x:c>
      <x:c r="L29" s="60" t="n">
        <x:v>2</x:v>
      </x:c>
      <x:c r="M29" s="60" t="n">
        <x:v>0</x:v>
      </x:c>
      <x:c r="N29" s="60" t="n">
        <x:f>IF(E29="Meal",L29,M29)</x:f>
        <x:v>2</x:v>
      </x:c>
      <x:c r="O29" s="58" t="str"/>
      <x:c r="P29" s="63" t="str">
        <x:v>When served, return a unit from your discard pile to your hand.</x:v>
      </x:c>
      <x:c r="Q29" s="63" t="str">
        <x:v>on_play</x:v>
      </x:c>
      <x:c r="R29" s="63" t="str">
        <x:v>Funky Starter</x:v>
      </x:c>
      <x:c r="S29" s="60" t="n">
        <x:v>2</x:v>
      </x:c>
      <x:c r="T29" s="58" t="str">
        <x:v>data/cards.json</x:v>
      </x:c>
    </x:row>
    <x:row r="30" ht="45" customHeight="1">
      <x:c r="A30" s="60" t="n">
        <x:v>26</x:v>
      </x:c>
      <x:c r="B30" s="58" t="str">
        <x:v>sweet_bottomless_trifle_tern</x:v>
      </x:c>
      <x:c r="C30" s="58" t="str">
        <x:v>Bottomless Trifle Tern</x:v>
      </x:c>
      <x:c r="D30" s="58" t="str"/>
      <x:c r="E30" s="58" t="str">
        <x:v>Meal</x:v>
      </x:c>
      <x:c r="F30" s="58" t="str">
        <x:v>Sweet</x:v>
      </x:c>
      <x:c r="G30" s="61" t="str">
        <x:v>Yes</x:v>
      </x:c>
      <x:c r="H30" s="61" t="str">
        <x:f>IF(E30="Chef","Mythic",IF(G30="Yes","Rare",IF(OR(E30="Meal",E30="Spice",E30="Environment"),"Uncommon","Common")))</x:f>
        <x:v>Rare</x:v>
      </x:c>
      <x:c r="I30" s="60" t="n">
        <x:v>4</x:v>
      </x:c>
      <x:c r="J30" s="60" t="n">
        <x:v>5</x:v>
      </x:c>
      <x:c r="K30" s="58" t="str">
        <x:v>Sweet</x:v>
      </x:c>
      <x:c r="L30" s="60" t="n">
        <x:v>1</x:v>
      </x:c>
      <x:c r="M30" s="60" t="n">
        <x:v>0</x:v>
      </x:c>
      <x:c r="N30" s="60" t="n">
        <x:f>IF(E30="Meal",L30,M30)</x:f>
        <x:v>1</x:v>
      </x:c>
      <x:c r="O30" s="58" t="str"/>
      <x:c r="P30" s="63" t="str">
        <x:v>To serve this, also sacrifice a Sweet Meal. The first time this attacks each turn, draw until you have 6 cards.</x:v>
      </x:c>
      <x:c r="Q30" s="63" t="str">
        <x:v>required_meal_archetype, on_attack</x:v>
      </x:c>
      <x:c r="R30" s="63" t="str"/>
      <x:c r="S30" s="60" t="n">
        <x:v>0</x:v>
      </x:c>
      <x:c r="T30" s="58" t="str">
        <x:v>data/cards.json</x:v>
      </x:c>
    </x:row>
    <x:row r="31" ht="30" customHeight="1">
      <x:c r="A31" s="60" t="n">
        <x:v>27</x:v>
      </x:c>
      <x:c r="B31" s="58" t="str">
        <x:v>sweet_pudding_puma</x:v>
      </x:c>
      <x:c r="C31" s="58" t="str">
        <x:v>Pudding Puma</x:v>
      </x:c>
      <x:c r="D31" s="58" t="str"/>
      <x:c r="E31" s="58" t="str">
        <x:v>Meal</x:v>
      </x:c>
      <x:c r="F31" s="58" t="str">
        <x:v>Sweet</x:v>
      </x:c>
      <x:c r="G31" s="61" t="str">
        <x:v>Yes</x:v>
      </x:c>
      <x:c r="H31" s="61" t="str">
        <x:f>IF(E31="Chef","Mythic",IF(G31="Yes","Rare",IF(OR(E31="Meal",E31="Spice",E31="Environment"),"Uncommon","Common")))</x:f>
        <x:v>Rare</x:v>
      </x:c>
      <x:c r="I31" s="60" t="n">
        <x:v>3</x:v>
      </x:c>
      <x:c r="J31" s="60" t="n">
        <x:v>4</x:v>
      </x:c>
      <x:c r="K31" s="58" t="str">
        <x:v>Sweet + Sweet</x:v>
      </x:c>
      <x:c r="L31" s="60" t="n">
        <x:v>2</x:v>
      </x:c>
      <x:c r="M31" s="60" t="n">
        <x:v>0</x:v>
      </x:c>
      <x:c r="N31" s="60" t="n">
        <x:f>IF(E31="Meal",L31,M31)</x:f>
        <x:v>2</x:v>
      </x:c>
      <x:c r="O31" s="58" t="str"/>
      <x:c r="P31" s="63" t="str">
        <x:v>This can attack while in Prep.</x:v>
      </x:c>
      <x:c r="Q31" s="63" t="str">
        <x:v>can_attack_from_prep</x:v>
      </x:c>
      <x:c r="R31" s="63" t="str"/>
      <x:c r="S31" s="60" t="n">
        <x:v>0</x:v>
      </x:c>
      <x:c r="T31" s="58" t="str">
        <x:v>data/cards.json</x:v>
      </x:c>
    </x:row>
    <x:row r="32" ht="30" customHeight="1">
      <x:c r="A32" s="60" t="n">
        <x:v>28</x:v>
      </x:c>
      <x:c r="B32" s="58" t="str">
        <x:v>funky_trap_jam_tapir</x:v>
      </x:c>
      <x:c r="C32" s="58" t="str">
        <x:v>Trap Jam Tapir</x:v>
      </x:c>
      <x:c r="D32" s="58" t="str"/>
      <x:c r="E32" s="58" t="str">
        <x:v>Meal</x:v>
      </x:c>
      <x:c r="F32" s="58" t="str">
        <x:v>Funky</x:v>
      </x:c>
      <x:c r="G32" s="61" t="str">
        <x:v>Yes</x:v>
      </x:c>
      <x:c r="H32" s="61" t="str">
        <x:f>IF(E32="Chef","Mythic",IF(G32="Yes","Rare",IF(OR(E32="Meal",E32="Spice",E32="Environment"),"Uncommon","Common")))</x:f>
        <x:v>Rare</x:v>
      </x:c>
      <x:c r="I32" s="60" t="n">
        <x:v>3</x:v>
      </x:c>
      <x:c r="J32" s="60" t="n">
        <x:v>4</x:v>
      </x:c>
      <x:c r="K32" s="58" t="str">
        <x:v>Funky</x:v>
      </x:c>
      <x:c r="L32" s="60" t="n">
        <x:v>1</x:v>
      </x:c>
      <x:c r="M32" s="60" t="n">
        <x:v>0</x:v>
      </x:c>
      <x:c r="N32" s="60" t="n">
        <x:f>IF(E32="Meal",L32,M32)</x:f>
        <x:v>1</x:v>
      </x:c>
      <x:c r="O32" s="58" t="str"/>
      <x:c r="P32" s="63" t="str">
        <x:v>While Plated, once per turn negate an opposing Hand Trap.</x:v>
      </x:c>
      <x:c r="Q32" s="63" t="str">
        <x:v>hand_trap_guard, hand_trap_guard_zone</x:v>
      </x:c>
      <x:c r="R32" s="63" t="str">
        <x:v>Funky Starter</x:v>
      </x:c>
      <x:c r="S32" s="60" t="n">
        <x:v>2</x:v>
      </x:c>
      <x:c r="T32" s="58" t="str">
        <x:v>data/cards.json</x:v>
      </x:c>
    </x:row>
    <x:row r="33" ht="30" customHeight="1">
      <x:c r="A33" s="60" t="n">
        <x:v>29</x:v>
      </x:c>
      <x:c r="B33" s="58" t="str">
        <x:v>spicy_hot_honey_bee</x:v>
      </x:c>
      <x:c r="C33" s="58" t="str">
        <x:v>Hot Honey Bee</x:v>
      </x:c>
      <x:c r="D33" s="58" t="str"/>
      <x:c r="E33" s="58" t="str">
        <x:v>Ingredient</x:v>
      </x:c>
      <x:c r="F33" s="58" t="str">
        <x:v>Spicy</x:v>
      </x:c>
      <x:c r="G33" s="61" t="str">
        <x:v>No</x:v>
      </x:c>
      <x:c r="H33" s="61" t="str">
        <x:f>IF(E33="Chef","Mythic",IF(G33="Yes","Rare",IF(OR(E33="Meal",E33="Spice",E33="Environment"),"Uncommon","Common")))</x:f>
        <x:v>Common</x:v>
      </x:c>
      <x:c r="I33" s="60" t="n">
        <x:v>1</x:v>
      </x:c>
      <x:c r="J33" s="60" t="n">
        <x:v>1</x:v>
      </x:c>
      <x:c r="K33" s="58" t="str">
        <x:v>Spicy</x:v>
      </x:c>
      <x:c r="L33" s="60" t="n">
        <x:v>0</x:v>
      </x:c>
      <x:c r="M33" s="60" t="n">
        <x:v>0</x:v>
      </x:c>
      <x:c r="N33" s="60" t="n">
        <x:f>IF(E33="Meal",L33,M33)</x:f>
        <x:v>0</x:v>
      </x:c>
      <x:c r="O33" s="58" t="str"/>
      <x:c r="P33" s="63" t="str">
        <x:v>When played, deal 1 damage to the opposing chef.</x:v>
      </x:c>
      <x:c r="Q33" s="63" t="str">
        <x:v>on_play</x:v>
      </x:c>
      <x:c r="R33" s="63" t="str">
        <x:v>Spicy Starter</x:v>
      </x:c>
      <x:c r="S33" s="60" t="n">
        <x:v>3</x:v>
      </x:c>
      <x:c r="T33" s="58" t="str">
        <x:v>data/cards.json</x:v>
      </x:c>
    </x:row>
    <x:row r="34" ht="30" customHeight="1">
      <x:c r="A34" s="60" t="n">
        <x:v>30</x:v>
      </x:c>
      <x:c r="B34" s="58" t="str">
        <x:v>spicy_jalapeno_panther</x:v>
      </x:c>
      <x:c r="C34" s="58" t="str">
        <x:v>Jalapeño Panther</x:v>
      </x:c>
      <x:c r="D34" s="58" t="str"/>
      <x:c r="E34" s="58" t="str">
        <x:v>Ingredient</x:v>
      </x:c>
      <x:c r="F34" s="58" t="str">
        <x:v>Spicy</x:v>
      </x:c>
      <x:c r="G34" s="61" t="str">
        <x:v>No</x:v>
      </x:c>
      <x:c r="H34" s="61" t="str">
        <x:f>IF(E34="Chef","Mythic",IF(G34="Yes","Rare",IF(OR(E34="Meal",E34="Spice",E34="Environment"),"Uncommon","Common")))</x:f>
        <x:v>Common</x:v>
      </x:c>
      <x:c r="I34" s="60" t="n">
        <x:v>2</x:v>
      </x:c>
      <x:c r="J34" s="60" t="n">
        <x:v>3</x:v>
      </x:c>
      <x:c r="K34" s="58" t="str">
        <x:v>Spicy</x:v>
      </x:c>
      <x:c r="L34" s="60" t="n">
        <x:v>0</x:v>
      </x:c>
      <x:c r="M34" s="60" t="n">
        <x:v>0</x:v>
      </x:c>
      <x:c r="N34" s="60" t="n">
        <x:f>IF(E34="Meal",L34,M34)</x:f>
        <x:v>0</x:v>
      </x:c>
      <x:c r="O34" s="58" t="str"/>
      <x:c r="P34" s="63" t="str"/>
      <x:c r="Q34" s="63" t="str"/>
      <x:c r="R34" s="63" t="str">
        <x:v>Spicy Starter</x:v>
      </x:c>
      <x:c r="S34" s="60" t="n">
        <x:v>2</x:v>
      </x:c>
      <x:c r="T34" s="58" t="str">
        <x:v>data/cards.json</x:v>
      </x:c>
    </x:row>
    <x:row r="35" ht="30" customHeight="1">
      <x:c r="A35" s="60" t="n">
        <x:v>31</x:v>
      </x:c>
      <x:c r="B35" s="58" t="str">
        <x:v>spicy_red_pepper_panda</x:v>
      </x:c>
      <x:c r="C35" s="58" t="str">
        <x:v>Red Pepper Panda</x:v>
      </x:c>
      <x:c r="D35" s="58" t="str"/>
      <x:c r="E35" s="58" t="str">
        <x:v>Ingredient</x:v>
      </x:c>
      <x:c r="F35" s="58" t="str">
        <x:v>Spicy</x:v>
      </x:c>
      <x:c r="G35" s="61" t="str">
        <x:v>No</x:v>
      </x:c>
      <x:c r="H35" s="61" t="str">
        <x:f>IF(E35="Chef","Mythic",IF(G35="Yes","Rare",IF(OR(E35="Meal",E35="Spice",E35="Environment"),"Uncommon","Common")))</x:f>
        <x:v>Common</x:v>
      </x:c>
      <x:c r="I35" s="60" t="n">
        <x:v>1</x:v>
      </x:c>
      <x:c r="J35" s="60" t="n">
        <x:v>2</x:v>
      </x:c>
      <x:c r="K35" s="58" t="str">
        <x:v>Spicy</x:v>
      </x:c>
      <x:c r="L35" s="60" t="n">
        <x:v>0</x:v>
      </x:c>
      <x:c r="M35" s="60" t="n">
        <x:v>0</x:v>
      </x:c>
      <x:c r="N35" s="60" t="n">
        <x:f>IF(E35="Meal",L35,M35)</x:f>
        <x:v>0</x:v>
      </x:c>
      <x:c r="O35" s="58" t="str">
        <x:v>Stalwart</x:v>
      </x:c>
      <x:c r="P35" s="63" t="str">
        <x:v>Stalwart — this card can attack the opposing chef even while they control Plated cards.</x:v>
      </x:c>
      <x:c r="Q35" s="63" t="str"/>
      <x:c r="R35" s="63" t="str">
        <x:v>Spicy Starter</x:v>
      </x:c>
      <x:c r="S35" s="60" t="n">
        <x:v>3</x:v>
      </x:c>
      <x:c r="T35" s="58" t="str">
        <x:v>data/cards.json</x:v>
      </x:c>
    </x:row>
    <x:row r="36" ht="30" customHeight="1">
      <x:c r="A36" s="60" t="n">
        <x:v>32</x:v>
      </x:c>
      <x:c r="B36" s="58" t="str">
        <x:v>spicy_wasabi_wasp</x:v>
      </x:c>
      <x:c r="C36" s="58" t="str">
        <x:v>Wastabi</x:v>
      </x:c>
      <x:c r="D36" s="58" t="str">
        <x:v>Wasabi Wasp</x:v>
      </x:c>
      <x:c r="E36" s="58" t="str">
        <x:v>Ingredient</x:v>
      </x:c>
      <x:c r="F36" s="58" t="str">
        <x:v>Spicy</x:v>
      </x:c>
      <x:c r="G36" s="61" t="str">
        <x:v>Yes</x:v>
      </x:c>
      <x:c r="H36" s="61" t="str">
        <x:f>IF(E36="Chef","Mythic",IF(G36="Yes","Rare",IF(OR(E36="Meal",E36="Spice",E36="Environment"),"Uncommon","Common")))</x:f>
        <x:v>Rare</x:v>
      </x:c>
      <x:c r="I36" s="60" t="n">
        <x:v>2</x:v>
      </x:c>
      <x:c r="J36" s="60" t="n">
        <x:v>1</x:v>
      </x:c>
      <x:c r="K36" s="58" t="str">
        <x:v>Spicy</x:v>
      </x:c>
      <x:c r="L36" s="60" t="n">
        <x:v>0</x:v>
      </x:c>
      <x:c r="M36" s="60" t="n">
        <x:v>0</x:v>
      </x:c>
      <x:c r="N36" s="60" t="n">
        <x:f>IF(E36="Meal",L36,M36)</x:f>
        <x:v>0</x:v>
      </x:c>
      <x:c r="O36" s="58" t="str"/>
      <x:c r="P36" s="63" t="str">
        <x:v>When played, deal 1 damage to all opposing Plated units.</x:v>
      </x:c>
      <x:c r="Q36" s="63" t="str">
        <x:v>on_play</x:v>
      </x:c>
      <x:c r="R36" s="63" t="str">
        <x:v>Spicy Starter</x:v>
      </x:c>
      <x:c r="S36" s="60" t="n">
        <x:v>2</x:v>
      </x:c>
      <x:c r="T36" s="58" t="str">
        <x:v>data/cards.json</x:v>
      </x:c>
    </x:row>
    <x:row r="37" ht="30" customHeight="1">
      <x:c r="A37" s="60" t="n">
        <x:v>33</x:v>
      </x:c>
      <x:c r="B37" s="58" t="str">
        <x:v>spicy_jalapeno_jackal</x:v>
      </x:c>
      <x:c r="C37" s="58" t="str">
        <x:v>Jakapeno</x:v>
      </x:c>
      <x:c r="D37" s="58" t="str">
        <x:v>Jalapeño Jackal</x:v>
      </x:c>
      <x:c r="E37" s="58" t="str">
        <x:v>Ingredient</x:v>
      </x:c>
      <x:c r="F37" s="58" t="str">
        <x:v>Spicy</x:v>
      </x:c>
      <x:c r="G37" s="61" t="str">
        <x:v>No</x:v>
      </x:c>
      <x:c r="H37" s="61" t="str">
        <x:f>IF(E37="Chef","Mythic",IF(G37="Yes","Rare",IF(OR(E37="Meal",E37="Spice",E37="Environment"),"Uncommon","Common")))</x:f>
        <x:v>Common</x:v>
      </x:c>
      <x:c r="I37" s="60" t="n">
        <x:v>1</x:v>
      </x:c>
      <x:c r="J37" s="60" t="n">
        <x:v>1</x:v>
      </x:c>
      <x:c r="K37" s="58" t="str">
        <x:v>Spicy</x:v>
      </x:c>
      <x:c r="L37" s="60" t="n">
        <x:v>0</x:v>
      </x:c>
      <x:c r="M37" s="60" t="n">
        <x:v>0</x:v>
      </x:c>
      <x:c r="N37" s="60" t="n">
        <x:f>IF(E37="Meal",L37,M37)</x:f>
        <x:v>0</x:v>
      </x:c>
      <x:c r="O37" s="58" t="str"/>
      <x:c r="P37" s="63" t="str">
        <x:v>Sacrifice this: search your deck for a Spicy card.</x:v>
      </x:c>
      <x:c r="Q37" s="63" t="str">
        <x:v>abilities</x:v>
      </x:c>
      <x:c r="R37" s="63" t="str">
        <x:v>Spicy Starter</x:v>
      </x:c>
      <x:c r="S37" s="60" t="n">
        <x:v>1</x:v>
      </x:c>
      <x:c r="T37" s="58" t="str">
        <x:v>data/cards.json</x:v>
      </x:c>
    </x:row>
    <x:row r="38" ht="30" customHeight="1">
      <x:c r="A38" s="60" t="n">
        <x:v>34</x:v>
      </x:c>
      <x:c r="B38" s="58" t="str">
        <x:v>spicy_peppercorn_porcupine</x:v>
      </x:c>
      <x:c r="C38" s="58" t="str">
        <x:v>Peppercupine</x:v>
      </x:c>
      <x:c r="D38" s="58" t="str">
        <x:v>Peppercorn Porcupine</x:v>
      </x:c>
      <x:c r="E38" s="58" t="str">
        <x:v>Ingredient</x:v>
      </x:c>
      <x:c r="F38" s="58" t="str">
        <x:v>Spicy</x:v>
      </x:c>
      <x:c r="G38" s="61" t="str">
        <x:v>Yes</x:v>
      </x:c>
      <x:c r="H38" s="61" t="str">
        <x:f>IF(E38="Chef","Mythic",IF(G38="Yes","Rare",IF(OR(E38="Meal",E38="Spice",E38="Environment"),"Uncommon","Common")))</x:f>
        <x:v>Rare</x:v>
      </x:c>
      <x:c r="I38" s="60" t="n">
        <x:v>2</x:v>
      </x:c>
      <x:c r="J38" s="60" t="n">
        <x:v>1</x:v>
      </x:c>
      <x:c r="K38" s="58" t="str">
        <x:v>Spicy</x:v>
      </x:c>
      <x:c r="L38" s="60" t="n">
        <x:v>0</x:v>
      </x:c>
      <x:c r="M38" s="60" t="n">
        <x:v>0</x:v>
      </x:c>
      <x:c r="N38" s="60" t="n">
        <x:f>IF(E38="Meal",L38,M38)</x:f>
        <x:v>0</x:v>
      </x:c>
      <x:c r="O38" s="58" t="str"/>
      <x:c r="P38" s="63" t="str">
        <x:v>When played, search your deck for a Spicy meal.</x:v>
      </x:c>
      <x:c r="Q38" s="63" t="str">
        <x:v>on_play</x:v>
      </x:c>
      <x:c r="R38" s="63" t="str"/>
      <x:c r="S38" s="60" t="n">
        <x:v>0</x:v>
      </x:c>
      <x:c r="T38" s="58" t="str">
        <x:v>data/cards.json</x:v>
      </x:c>
    </x:row>
    <x:row r="39" ht="30" customHeight="1">
      <x:c r="A39" s="60" t="n">
        <x:v>35</x:v>
      </x:c>
      <x:c r="B39" s="58" t="str">
        <x:v>spicy_habanero_hare</x:v>
      </x:c>
      <x:c r="C39" s="58" t="str">
        <x:v>Harebanero</x:v>
      </x:c>
      <x:c r="D39" s="58" t="str">
        <x:v>Habanero Hare</x:v>
      </x:c>
      <x:c r="E39" s="58" t="str">
        <x:v>Ingredient</x:v>
      </x:c>
      <x:c r="F39" s="58" t="str">
        <x:v>Spicy</x:v>
      </x:c>
      <x:c r="G39" s="61" t="str">
        <x:v>No</x:v>
      </x:c>
      <x:c r="H39" s="61" t="str">
        <x:f>IF(E39="Chef","Mythic",IF(G39="Yes","Rare",IF(OR(E39="Meal",E39="Spice",E39="Environment"),"Uncommon","Common")))</x:f>
        <x:v>Common</x:v>
      </x:c>
      <x:c r="I39" s="60" t="n">
        <x:v>2</x:v>
      </x:c>
      <x:c r="J39" s="60" t="n">
        <x:v>1</x:v>
      </x:c>
      <x:c r="K39" s="58" t="str">
        <x:v>Spicy</x:v>
      </x:c>
      <x:c r="L39" s="60" t="n">
        <x:v>0</x:v>
      </x:c>
      <x:c r="M39" s="60" t="n">
        <x:v>0</x:v>
      </x:c>
      <x:c r="N39" s="60" t="n">
        <x:f>IF(E39="Meal",L39,M39)</x:f>
        <x:v>0</x:v>
      </x:c>
      <x:c r="O39" s="58" t="str"/>
      <x:c r="P39" s="63" t="str">
        <x:v>When sacrificed, deal 2 damage to a random opposing card in Prep.</x:v>
      </x:c>
      <x:c r="Q39" s="63" t="str">
        <x:v>on_sacrifice</x:v>
      </x:c>
      <x:c r="R39" s="63" t="str"/>
      <x:c r="S39" s="60" t="n">
        <x:v>0</x:v>
      </x:c>
      <x:c r="T39" s="58" t="str">
        <x:v>data/cards.json</x:v>
      </x:c>
    </x:row>
    <x:row r="40" ht="30" customHeight="1">
      <x:c r="A40" s="60" t="n">
        <x:v>36</x:v>
      </x:c>
      <x:c r="B40" s="58" t="str">
        <x:v>spicy_ghost_pepper_python</x:v>
      </x:c>
      <x:c r="C40" s="58" t="str">
        <x:v>Ghost Pepython</x:v>
      </x:c>
      <x:c r="D40" s="58" t="str">
        <x:v>Ghost Pepper Python</x:v>
      </x:c>
      <x:c r="E40" s="58" t="str">
        <x:v>Ingredient</x:v>
      </x:c>
      <x:c r="F40" s="58" t="str">
        <x:v>Spicy</x:v>
      </x:c>
      <x:c r="G40" s="61" t="str">
        <x:v>Yes</x:v>
      </x:c>
      <x:c r="H40" s="61" t="str">
        <x:f>IF(E40="Chef","Mythic",IF(G40="Yes","Rare",IF(OR(E40="Meal",E40="Spice",E40="Environment"),"Uncommon","Common")))</x:f>
        <x:v>Rare</x:v>
      </x:c>
      <x:c r="I40" s="60" t="n">
        <x:v>2</x:v>
      </x:c>
      <x:c r="J40" s="60" t="n">
        <x:v>1</x:v>
      </x:c>
      <x:c r="K40" s="58" t="str">
        <x:v>Spicy</x:v>
      </x:c>
      <x:c r="L40" s="60" t="n">
        <x:v>0</x:v>
      </x:c>
      <x:c r="M40" s="60" t="n">
        <x:v>0</x:v>
      </x:c>
      <x:c r="N40" s="60" t="n">
        <x:f>IF(E40="Meal",L40,M40)</x:f>
        <x:v>0</x:v>
      </x:c>
      <x:c r="O40" s="58" t="str"/>
      <x:c r="P40" s="63" t="str">
        <x:v>When played, discard your hand. If you discarded at least one card this way, draw 3.</x:v>
      </x:c>
      <x:c r="Q40" s="63" t="str">
        <x:v>on_play</x:v>
      </x:c>
      <x:c r="R40" s="63" t="str"/>
      <x:c r="S40" s="60" t="n">
        <x:v>0</x:v>
      </x:c>
      <x:c r="T40" s="58" t="str">
        <x:v>data/cards.json</x:v>
      </x:c>
    </x:row>
    <x:row r="41" ht="30" customHeight="1">
      <x:c r="A41" s="60" t="n">
        <x:v>37</x:v>
      </x:c>
      <x:c r="B41" s="58" t="str">
        <x:v>spicy_chili_cicada</x:v>
      </x:c>
      <x:c r="C41" s="58" t="str">
        <x:v>Chili Cicada</x:v>
      </x:c>
      <x:c r="D41" s="58" t="str"/>
      <x:c r="E41" s="58" t="str">
        <x:v>Ingredient</x:v>
      </x:c>
      <x:c r="F41" s="58" t="str">
        <x:v>Spicy</x:v>
      </x:c>
      <x:c r="G41" s="61" t="str">
        <x:v>Yes</x:v>
      </x:c>
      <x:c r="H41" s="61" t="str">
        <x:f>IF(E41="Chef","Mythic",IF(G41="Yes","Rare",IF(OR(E41="Meal",E41="Spice",E41="Environment"),"Uncommon","Common")))</x:f>
        <x:v>Rare</x:v>
      </x:c>
      <x:c r="I41" s="60" t="n">
        <x:v>1</x:v>
      </x:c>
      <x:c r="J41" s="60" t="n">
        <x:v>1</x:v>
      </x:c>
      <x:c r="K41" s="58" t="str">
        <x:v>Spicy</x:v>
      </x:c>
      <x:c r="L41" s="60" t="n">
        <x:v>0</x:v>
      </x:c>
      <x:c r="M41" s="60" t="n">
        <x:v>0</x:v>
      </x:c>
      <x:c r="N41" s="60" t="n">
        <x:f>IF(E41="Meal",L41,M41)</x:f>
        <x:v>0</x:v>
      </x:c>
      <x:c r="O41" s="58" t="str"/>
      <x:c r="P41" s="63" t="str">
        <x:v>When this is KO'd, deal 3 damage to an opposing unit.</x:v>
      </x:c>
      <x:c r="Q41" s="63" t="str">
        <x:v>on_ko</x:v>
      </x:c>
      <x:c r="R41" s="63" t="str"/>
      <x:c r="S41" s="60" t="n">
        <x:v>0</x:v>
      </x:c>
      <x:c r="T41" s="58" t="str">
        <x:v>data/cards.json</x:v>
      </x:c>
    </x:row>
    <x:row r="42" ht="30" customHeight="1">
      <x:c r="A42" s="60" t="n">
        <x:v>38</x:v>
      </x:c>
      <x:c r="B42" s="58" t="str">
        <x:v>funky_beat_beetle</x:v>
      </x:c>
      <x:c r="C42" s="58" t="str">
        <x:v>Beat Beetle</x:v>
      </x:c>
      <x:c r="D42" s="58" t="str"/>
      <x:c r="E42" s="58" t="str">
        <x:v>Ingredient</x:v>
      </x:c>
      <x:c r="F42" s="58" t="str">
        <x:v>Funky</x:v>
      </x:c>
      <x:c r="G42" s="61" t="str">
        <x:v>No</x:v>
      </x:c>
      <x:c r="H42" s="61" t="str">
        <x:f>IF(E42="Chef","Mythic",IF(G42="Yes","Rare",IF(OR(E42="Meal",E42="Spice",E42="Environment"),"Uncommon","Common")))</x:f>
        <x:v>Common</x:v>
      </x:c>
      <x:c r="I42" s="60" t="n">
        <x:v>1</x:v>
      </x:c>
      <x:c r="J42" s="60" t="n">
        <x:v>1</x:v>
      </x:c>
      <x:c r="K42" s="58" t="str">
        <x:v>Funky</x:v>
      </x:c>
      <x:c r="L42" s="60" t="n">
        <x:v>0</x:v>
      </x:c>
      <x:c r="M42" s="60" t="n">
        <x:v>0</x:v>
      </x:c>
      <x:c r="N42" s="60" t="n">
        <x:f>IF(E42="Meal",L42,M42)</x:f>
        <x:v>0</x:v>
      </x:c>
      <x:c r="O42" s="58" t="str"/>
      <x:c r="P42" s="63" t="str">
        <x:v>When played, discard the top card of your deck. If it is a unit, this gets +3/+3.</x:v>
      </x:c>
      <x:c r="Q42" s="63" t="str">
        <x:v>on_play</x:v>
      </x:c>
      <x:c r="R42" s="63" t="str">
        <x:v>Funky Starter</x:v>
      </x:c>
      <x:c r="S42" s="60" t="n">
        <x:v>3</x:v>
      </x:c>
      <x:c r="T42" s="58" t="str">
        <x:v>data/cards.json</x:v>
      </x:c>
    </x:row>
    <x:row r="43" ht="30" customHeight="1">
      <x:c r="A43" s="60" t="n">
        <x:v>39</x:v>
      </x:c>
      <x:c r="B43" s="58" t="str">
        <x:v>fresh_salad_shield_skunk</x:v>
      </x:c>
      <x:c r="C43" s="58" t="str">
        <x:v>Salad Shield Skunk</x:v>
      </x:c>
      <x:c r="D43" s="58" t="str"/>
      <x:c r="E43" s="58" t="str">
        <x:v>Ingredient</x:v>
      </x:c>
      <x:c r="F43" s="58" t="str">
        <x:v>Fresh</x:v>
      </x:c>
      <x:c r="G43" s="61" t="str">
        <x:v>No</x:v>
      </x:c>
      <x:c r="H43" s="61" t="str">
        <x:f>IF(E43="Chef","Mythic",IF(G43="Yes","Rare",IF(OR(E43="Meal",E43="Spice",E43="Environment"),"Uncommon","Common")))</x:f>
        <x:v>Common</x:v>
      </x:c>
      <x:c r="I43" s="60" t="n">
        <x:v>1</x:v>
      </x:c>
      <x:c r="J43" s="60" t="n">
        <x:v>2</x:v>
      </x:c>
      <x:c r="K43" s="58" t="str">
        <x:v>Fresh</x:v>
      </x:c>
      <x:c r="L43" s="60" t="n">
        <x:v>0</x:v>
      </x:c>
      <x:c r="M43" s="60" t="n">
        <x:v>0</x:v>
      </x:c>
      <x:c r="N43" s="60" t="n">
        <x:f>IF(E43="Meal",L43,M43)</x:f>
        <x:v>0</x:v>
      </x:c>
      <x:c r="O43" s="58" t="str"/>
      <x:c r="P43" s="63" t="str">
        <x:v>While this is in Prep, opposing effects cannot damage your other Prep units.</x:v>
      </x:c>
      <x:c r="Q43" s="63" t="str">
        <x:v>protect_other_friendly_prep_from_effect_damage</x:v>
      </x:c>
      <x:c r="R43" s="63" t="str">
        <x:v>Fresh Starter</x:v>
      </x:c>
      <x:c r="S43" s="60" t="n">
        <x:v>3</x:v>
      </x:c>
      <x:c r="T43" s="58" t="str">
        <x:v>data/cards.json</x:v>
      </x:c>
    </x:row>
    <x:row r="44" ht="30" customHeight="1">
      <x:c r="A44" s="60" t="n">
        <x:v>40</x:v>
      </x:c>
      <x:c r="B44" s="58" t="str">
        <x:v>funky_chef_check_chinchilla</x:v>
      </x:c>
      <x:c r="C44" s="58" t="str">
        <x:v>Chef-Check Chinchilla</x:v>
      </x:c>
      <x:c r="D44" s="58" t="str"/>
      <x:c r="E44" s="58" t="str">
        <x:v>Ingredient</x:v>
      </x:c>
      <x:c r="F44" s="58" t="str">
        <x:v>Funky</x:v>
      </x:c>
      <x:c r="G44" s="61" t="str">
        <x:v>Yes</x:v>
      </x:c>
      <x:c r="H44" s="61" t="str">
        <x:f>IF(E44="Chef","Mythic",IF(G44="Yes","Rare",IF(OR(E44="Meal",E44="Spice",E44="Environment"),"Uncommon","Common")))</x:f>
        <x:v>Rare</x:v>
      </x:c>
      <x:c r="I44" s="60" t="n">
        <x:v>1</x:v>
      </x:c>
      <x:c r="J44" s="60" t="n">
        <x:v>1</x:v>
      </x:c>
      <x:c r="K44" s="58" t="str">
        <x:v>Funky</x:v>
      </x:c>
      <x:c r="L44" s="60" t="n">
        <x:v>0</x:v>
      </x:c>
      <x:c r="M44" s="60" t="n">
        <x:v>0</x:v>
      </x:c>
      <x:c r="N44" s="60" t="n">
        <x:f>IF(E44="Meal",L44,M44)</x:f>
        <x:v>0</x:v>
      </x:c>
      <x:c r="O44" s="58" t="str">
        <x:v>Hand_trap</x:v>
      </x:c>
      <x:c r="P44" s="63" t="str">
        <x:v>Hand Trap — when your opponent uses a Chef, discard this to negate it.</x:v>
      </x:c>
      <x:c r="Q44" s="63" t="str">
        <x:v>hand_trap</x:v>
      </x:c>
      <x:c r="R44" s="63" t="str">
        <x:v>Funky Starter</x:v>
      </x:c>
      <x:c r="S44" s="60" t="n">
        <x:v>1</x:v>
      </x:c>
      <x:c r="T44" s="58" t="str">
        <x:v>data/cards.json</x:v>
      </x:c>
    </x:row>
    <x:row r="45" ht="45" customHeight="1">
      <x:c r="A45" s="60" t="n">
        <x:v>41</x:v>
      </x:c>
      <x:c r="B45" s="58" t="str">
        <x:v>spicy_pantry_pouncer</x:v>
      </x:c>
      <x:c r="C45" s="58" t="str">
        <x:v>Pantry Pouncer</x:v>
      </x:c>
      <x:c r="D45" s="58" t="str"/>
      <x:c r="E45" s="58" t="str">
        <x:v>Ingredient</x:v>
      </x:c>
      <x:c r="F45" s="58" t="str">
        <x:v>Spicy</x:v>
      </x:c>
      <x:c r="G45" s="61" t="str">
        <x:v>Yes</x:v>
      </x:c>
      <x:c r="H45" s="61" t="str">
        <x:f>IF(E45="Chef","Mythic",IF(G45="Yes","Rare",IF(OR(E45="Meal",E45="Spice",E45="Environment"),"Uncommon","Common")))</x:f>
        <x:v>Rare</x:v>
      </x:c>
      <x:c r="I45" s="60" t="n">
        <x:v>1</x:v>
      </x:c>
      <x:c r="J45" s="60" t="n">
        <x:v>1</x:v>
      </x:c>
      <x:c r="K45" s="58" t="str">
        <x:v>Spicy</x:v>
      </x:c>
      <x:c r="L45" s="60" t="n">
        <x:v>0</x:v>
      </x:c>
      <x:c r="M45" s="60" t="n">
        <x:v>0</x:v>
      </x:c>
      <x:c r="N45" s="60" t="n">
        <x:f>IF(E45="Meal",L45,M45)</x:f>
        <x:v>0</x:v>
      </x:c>
      <x:c r="O45" s="58" t="str">
        <x:v>Hand_trap</x:v>
      </x:c>
      <x:c r="P45" s="63" t="str">
        <x:v>Hand Trap — when your opponent plays an Ingredient, discard this to destroy it after its on-play effect resolves.</x:v>
      </x:c>
      <x:c r="Q45" s="63" t="str">
        <x:v>hand_trap</x:v>
      </x:c>
      <x:c r="R45" s="63" t="str"/>
      <x:c r="S45" s="60" t="n">
        <x:v>0</x:v>
      </x:c>
      <x:c r="T45" s="58" t="str">
        <x:v>data/cards.json</x:v>
      </x:c>
    </x:row>
    <x:row r="46" ht="30" customHeight="1">
      <x:c r="A46" s="60" t="n">
        <x:v>42</x:v>
      </x:c>
      <x:c r="B46" s="58" t="str">
        <x:v>funky_toolbox_toad</x:v>
      </x:c>
      <x:c r="C46" s="58" t="str">
        <x:v>Toolbox Toad</x:v>
      </x:c>
      <x:c r="D46" s="58" t="str"/>
      <x:c r="E46" s="58" t="str">
        <x:v>Ingredient</x:v>
      </x:c>
      <x:c r="F46" s="58" t="str">
        <x:v>Funky</x:v>
      </x:c>
      <x:c r="G46" s="61" t="str">
        <x:v>Yes</x:v>
      </x:c>
      <x:c r="H46" s="61" t="str">
        <x:f>IF(E46="Chef","Mythic",IF(G46="Yes","Rare",IF(OR(E46="Meal",E46="Spice",E46="Environment"),"Uncommon","Common")))</x:f>
        <x:v>Rare</x:v>
      </x:c>
      <x:c r="I46" s="60" t="n">
        <x:v>1</x:v>
      </x:c>
      <x:c r="J46" s="60" t="n">
        <x:v>1</x:v>
      </x:c>
      <x:c r="K46" s="58" t="str">
        <x:v>Funky</x:v>
      </x:c>
      <x:c r="L46" s="60" t="n">
        <x:v>0</x:v>
      </x:c>
      <x:c r="M46" s="60" t="n">
        <x:v>0</x:v>
      </x:c>
      <x:c r="N46" s="60" t="n">
        <x:f>IF(E46="Meal",L46,M46)</x:f>
        <x:v>0</x:v>
      </x:c>
      <x:c r="O46" s="58" t="str">
        <x:v>Hand_trap</x:v>
      </x:c>
      <x:c r="P46" s="63" t="str">
        <x:v>Hand Trap — when your opponent uses a Tool, discard this to negate it.</x:v>
      </x:c>
      <x:c r="Q46" s="63" t="str">
        <x:v>hand_trap</x:v>
      </x:c>
      <x:c r="R46" s="63" t="str">
        <x:v>Funky Starter</x:v>
      </x:c>
      <x:c r="S46" s="60" t="n">
        <x:v>1</x:v>
      </x:c>
      <x:c r="T46" s="58" t="str">
        <x:v>data/cards.json</x:v>
      </x:c>
    </x:row>
    <x:row r="47" ht="45" customHeight="1">
      <x:c r="A47" s="60" t="n">
        <x:v>43</x:v>
      </x:c>
      <x:c r="B47" s="58" t="str">
        <x:v>sweet_ability_axolotl</x:v>
      </x:c>
      <x:c r="C47" s="58" t="str">
        <x:v>Ability Axolotl</x:v>
      </x:c>
      <x:c r="D47" s="58" t="str"/>
      <x:c r="E47" s="58" t="str">
        <x:v>Ingredient</x:v>
      </x:c>
      <x:c r="F47" s="58" t="str">
        <x:v>Sweet</x:v>
      </x:c>
      <x:c r="G47" s="61" t="str">
        <x:v>Yes</x:v>
      </x:c>
      <x:c r="H47" s="61" t="str">
        <x:f>IF(E47="Chef","Mythic",IF(G47="Yes","Rare",IF(OR(E47="Meal",E47="Spice",E47="Environment"),"Uncommon","Common")))</x:f>
        <x:v>Rare</x:v>
      </x:c>
      <x:c r="I47" s="60" t="n">
        <x:v>1</x:v>
      </x:c>
      <x:c r="J47" s="60" t="n">
        <x:v>1</x:v>
      </x:c>
      <x:c r="K47" s="58" t="str">
        <x:v>Sweet</x:v>
      </x:c>
      <x:c r="L47" s="60" t="n">
        <x:v>0</x:v>
      </x:c>
      <x:c r="M47" s="60" t="n">
        <x:v>0</x:v>
      </x:c>
      <x:c r="N47" s="60" t="n">
        <x:f>IF(E47="Meal",L47,M47)</x:f>
        <x:v>0</x:v>
      </x:c>
      <x:c r="O47" s="58" t="str">
        <x:v>Hand_trap</x:v>
      </x:c>
      <x:c r="P47" s="63" t="str">
        <x:v>Hand Trap — when your opponent activates a unit ability, discard this to negate that ability. Its costs remain paid.</x:v>
      </x:c>
      <x:c r="Q47" s="63" t="str">
        <x:v>hand_trap</x:v>
      </x:c>
      <x:c r="R47" s="63" t="str"/>
      <x:c r="S47" s="60" t="n">
        <x:v>0</x:v>
      </x:c>
      <x:c r="T47" s="58" t="str">
        <x:v>data/cards.json</x:v>
      </x:c>
    </x:row>
    <x:row r="48" ht="60" customHeight="1">
      <x:c r="A48" s="60" t="n">
        <x:v>44</x:v>
      </x:c>
      <x:c r="B48" s="58" t="str">
        <x:v>fresh_comeback_corgi</x:v>
      </x:c>
      <x:c r="C48" s="58" t="str">
        <x:v>Comeback Cucumber Corgi</x:v>
      </x:c>
      <x:c r="D48" s="58" t="str"/>
      <x:c r="E48" s="58" t="str">
        <x:v>Ingredient</x:v>
      </x:c>
      <x:c r="F48" s="58" t="str">
        <x:v>Fresh</x:v>
      </x:c>
      <x:c r="G48" s="61" t="str">
        <x:v>Yes</x:v>
      </x:c>
      <x:c r="H48" s="61" t="str">
        <x:f>IF(E48="Chef","Mythic",IF(G48="Yes","Rare",IF(OR(E48="Meal",E48="Spice",E48="Environment"),"Uncommon","Common")))</x:f>
        <x:v>Rare</x:v>
      </x:c>
      <x:c r="I48" s="60" t="n">
        <x:v>1</x:v>
      </x:c>
      <x:c r="J48" s="60" t="n">
        <x:v>1</x:v>
      </x:c>
      <x:c r="K48" s="58" t="str">
        <x:v>Fresh</x:v>
      </x:c>
      <x:c r="L48" s="60" t="n">
        <x:v>0</x:v>
      </x:c>
      <x:c r="M48" s="60" t="n">
        <x:v>0</x:v>
      </x:c>
      <x:c r="N48" s="60" t="n">
        <x:f>IF(E48="Meal",L48,M48)</x:f>
        <x:v>0</x:v>
      </x:c>
      <x:c r="O48" s="58" t="str"/>
      <x:c r="P48" s="63" t="str">
        <x:v>After your Chef takes damage, if your Plated and Prep areas have room, you may play this Plated and create a 1/1 Fresh Ingredient token in Prep. That token becomes recipe-ready next turn.</x:v>
      </x:c>
      <x:c r="Q48" s="63" t="str">
        <x:v>hand_trigger</x:v>
      </x:c>
      <x:c r="R48" s="63" t="str">
        <x:v>Fresh Starter</x:v>
      </x:c>
      <x:c r="S48" s="60" t="n">
        <x:v>3</x:v>
      </x:c>
      <x:c r="T48" s="58" t="str">
        <x:v>data/cards.json</x:v>
      </x:c>
    </x:row>
    <x:row r="49" ht="30" customHeight="1">
      <x:c r="A49" s="60" t="n">
        <x:v>45</x:v>
      </x:c>
      <x:c r="B49" s="58" t="str">
        <x:v>fresh_crisp_capybara</x:v>
      </x:c>
      <x:c r="C49" s="58" t="str">
        <x:v>Crisp Capybara</x:v>
      </x:c>
      <x:c r="D49" s="58" t="str"/>
      <x:c r="E49" s="58" t="str">
        <x:v>Ingredient</x:v>
      </x:c>
      <x:c r="F49" s="58" t="str">
        <x:v>Fresh</x:v>
      </x:c>
      <x:c r="G49" s="61" t="str">
        <x:v>No</x:v>
      </x:c>
      <x:c r="H49" s="61" t="str">
        <x:f>IF(E49="Chef","Mythic",IF(G49="Yes","Rare",IF(OR(E49="Meal",E49="Spice",E49="Environment"),"Uncommon","Common")))</x:f>
        <x:v>Common</x:v>
      </x:c>
      <x:c r="I49" s="60" t="n">
        <x:v>2</x:v>
      </x:c>
      <x:c r="J49" s="60" t="n">
        <x:v>3</x:v>
      </x:c>
      <x:c r="K49" s="58" t="str">
        <x:v>Fresh</x:v>
      </x:c>
      <x:c r="L49" s="60" t="n">
        <x:v>0</x:v>
      </x:c>
      <x:c r="M49" s="60" t="n">
        <x:v>0</x:v>
      </x:c>
      <x:c r="N49" s="60" t="n">
        <x:f>IF(E49="Meal",L49,M49)</x:f>
        <x:v>0</x:v>
      </x:c>
      <x:c r="O49" s="58" t="str"/>
      <x:c r="P49" s="63" t="str"/>
      <x:c r="Q49" s="63" t="str"/>
      <x:c r="R49" s="63" t="str">
        <x:v>Fresh Starter</x:v>
      </x:c>
      <x:c r="S49" s="60" t="n">
        <x:v>3</x:v>
      </x:c>
      <x:c r="T49" s="58" t="str">
        <x:v>data/cards.json</x:v>
      </x:c>
    </x:row>
    <x:row r="50" ht="30" customHeight="1">
      <x:c r="A50" s="60" t="n">
        <x:v>46</x:v>
      </x:c>
      <x:c r="B50" s="58" t="str">
        <x:v>fresh_sprout_squirrel</x:v>
      </x:c>
      <x:c r="C50" s="58" t="str">
        <x:v>Sprout Squirrel</x:v>
      </x:c>
      <x:c r="D50" s="58" t="str"/>
      <x:c r="E50" s="58" t="str">
        <x:v>Ingredient</x:v>
      </x:c>
      <x:c r="F50" s="58" t="str">
        <x:v>Fresh</x:v>
      </x:c>
      <x:c r="G50" s="61" t="str">
        <x:v>No</x:v>
      </x:c>
      <x:c r="H50" s="61" t="str">
        <x:f>IF(E50="Chef","Mythic",IF(G50="Yes","Rare",IF(OR(E50="Meal",E50="Spice",E50="Environment"),"Uncommon","Common")))</x:f>
        <x:v>Common</x:v>
      </x:c>
      <x:c r="I50" s="60" t="n">
        <x:v>1</x:v>
      </x:c>
      <x:c r="J50" s="60" t="n">
        <x:v>2</x:v>
      </x:c>
      <x:c r="K50" s="58" t="str">
        <x:v>Fresh</x:v>
      </x:c>
      <x:c r="L50" s="60" t="n">
        <x:v>0</x:v>
      </x:c>
      <x:c r="M50" s="60" t="n">
        <x:v>0</x:v>
      </x:c>
      <x:c r="N50" s="60" t="n">
        <x:f>IF(E50="Meal",L50,M50)</x:f>
        <x:v>0</x:v>
      </x:c>
      <x:c r="O50" s="58" t="str"/>
      <x:c r="P50" s="63" t="str">
        <x:v>When played, create a 1/1 Fresh Ingredient token in Prep if there is room.</x:v>
      </x:c>
      <x:c r="Q50" s="63" t="str">
        <x:v>on_play</x:v>
      </x:c>
      <x:c r="R50" s="63" t="str">
        <x:v>Fresh Starter</x:v>
      </x:c>
      <x:c r="S50" s="60" t="n">
        <x:v>3</x:v>
      </x:c>
      <x:c r="T50" s="58" t="str">
        <x:v>data/cards.json</x:v>
      </x:c>
    </x:row>
    <x:row r="51" ht="30" customHeight="1">
      <x:c r="A51" s="60" t="n">
        <x:v>47</x:v>
      </x:c>
      <x:c r="B51" s="58" t="str">
        <x:v>funky_fondue_ferret</x:v>
      </x:c>
      <x:c r="C51" s="58" t="str">
        <x:v>Fondue Ferret</x:v>
      </x:c>
      <x:c r="D51" s="58" t="str"/>
      <x:c r="E51" s="58" t="str">
        <x:v>Ingredient</x:v>
      </x:c>
      <x:c r="F51" s="58" t="str">
        <x:v>Funky</x:v>
      </x:c>
      <x:c r="G51" s="61" t="str">
        <x:v>No</x:v>
      </x:c>
      <x:c r="H51" s="61" t="str">
        <x:f>IF(E51="Chef","Mythic",IF(G51="Yes","Rare",IF(OR(E51="Meal",E51="Spice",E51="Environment"),"Uncommon","Common")))</x:f>
        <x:v>Common</x:v>
      </x:c>
      <x:c r="I51" s="60" t="n">
        <x:v>2</x:v>
      </x:c>
      <x:c r="J51" s="60" t="n">
        <x:v>3</x:v>
      </x:c>
      <x:c r="K51" s="58" t="str">
        <x:v>Funky</x:v>
      </x:c>
      <x:c r="L51" s="60" t="n">
        <x:v>0</x:v>
      </x:c>
      <x:c r="M51" s="60" t="n">
        <x:v>0</x:v>
      </x:c>
      <x:c r="N51" s="60" t="n">
        <x:f>IF(E51="Meal",L51,M51)</x:f>
        <x:v>0</x:v>
      </x:c>
      <x:c r="O51" s="58" t="str"/>
      <x:c r="P51" s="63" t="str"/>
      <x:c r="Q51" s="63" t="str"/>
      <x:c r="R51" s="63" t="str">
        <x:v>Funky Starter</x:v>
      </x:c>
      <x:c r="S51" s="60" t="n">
        <x:v>3</x:v>
      </x:c>
      <x:c r="T51" s="58" t="str">
        <x:v>data/cards.json</x:v>
      </x:c>
    </x:row>
    <x:row r="52" ht="30" customHeight="1">
      <x:c r="A52" s="60" t="n">
        <x:v>48</x:v>
      </x:c>
      <x:c r="B52" s="58" t="str">
        <x:v>funky_turniptable_turtle</x:v>
      </x:c>
      <x:c r="C52" s="58" t="str">
        <x:v>Turniptable Turtle</x:v>
      </x:c>
      <x:c r="D52" s="58" t="str">
        <x:v>Turnip Turntable Turtle</x:v>
      </x:c>
      <x:c r="E52" s="58" t="str">
        <x:v>Ingredient</x:v>
      </x:c>
      <x:c r="F52" s="58" t="str">
        <x:v>Funky</x:v>
      </x:c>
      <x:c r="G52" s="61" t="str">
        <x:v>No</x:v>
      </x:c>
      <x:c r="H52" s="61" t="str">
        <x:f>IF(E52="Chef","Mythic",IF(G52="Yes","Rare",IF(OR(E52="Meal",E52="Spice",E52="Environment"),"Uncommon","Common")))</x:f>
        <x:v>Common</x:v>
      </x:c>
      <x:c r="I52" s="60" t="n">
        <x:v>1</x:v>
      </x:c>
      <x:c r="J52" s="60" t="n">
        <x:v>2</x:v>
      </x:c>
      <x:c r="K52" s="58" t="str">
        <x:v>Funky</x:v>
      </x:c>
      <x:c r="L52" s="60" t="n">
        <x:v>0</x:v>
      </x:c>
      <x:c r="M52" s="60" t="n">
        <x:v>0</x:v>
      </x:c>
      <x:c r="N52" s="60" t="n">
        <x:f>IF(E52="Meal",L52,M52)</x:f>
        <x:v>0</x:v>
      </x:c>
      <x:c r="O52" s="58" t="str"/>
      <x:c r="P52" s="63" t="str">
        <x:v>While in Prep, once per turn discard the top card of your deck. If it is a unit, this gets +1/+1.</x:v>
      </x:c>
      <x:c r="Q52" s="63" t="str">
        <x:v>abilities</x:v>
      </x:c>
      <x:c r="R52" s="63" t="str">
        <x:v>Funky Starter</x:v>
      </x:c>
      <x:c r="S52" s="60" t="n">
        <x:v>3</x:v>
      </x:c>
      <x:c r="T52" s="58" t="str">
        <x:v>data/cards.json</x:v>
      </x:c>
    </x:row>
    <x:row r="53" ht="30" customHeight="1">
      <x:c r="A53" s="60" t="n">
        <x:v>49</x:v>
      </x:c>
      <x:c r="B53" s="58" t="str">
        <x:v>hearty_bagver</x:v>
      </x:c>
      <x:c r="C53" s="58" t="str">
        <x:v>Bagver</x:v>
      </x:c>
      <x:c r="D53" s="58" t="str"/>
      <x:c r="E53" s="58" t="str">
        <x:v>Ingredient</x:v>
      </x:c>
      <x:c r="F53" s="58" t="str">
        <x:v>Hearty</x:v>
      </x:c>
      <x:c r="G53" s="61" t="str">
        <x:v>No</x:v>
      </x:c>
      <x:c r="H53" s="61" t="str">
        <x:f>IF(E53="Chef","Mythic",IF(G53="Yes","Rare",IF(OR(E53="Meal",E53="Spice",E53="Environment"),"Uncommon","Common")))</x:f>
        <x:v>Common</x:v>
      </x:c>
      <x:c r="I53" s="60" t="n">
        <x:v>1</x:v>
      </x:c>
      <x:c r="J53" s="60" t="n">
        <x:v>2</x:v>
      </x:c>
      <x:c r="K53" s="58" t="str">
        <x:v>Hearty</x:v>
      </x:c>
      <x:c r="L53" s="60" t="n">
        <x:v>0</x:v>
      </x:c>
      <x:c r="M53" s="60" t="n">
        <x:v>0</x:v>
      </x:c>
      <x:c r="N53" s="60" t="n">
        <x:f>IF(E53="Meal",L53,M53)</x:f>
        <x:v>0</x:v>
      </x:c>
      <x:c r="O53" s="58" t="str"/>
      <x:c r="P53" s="63" t="str">
        <x:v>When sacrificed, heal your chef for 1.</x:v>
      </x:c>
      <x:c r="Q53" s="63" t="str">
        <x:v>on_sacrifice</x:v>
      </x:c>
      <x:c r="R53" s="63" t="str">
        <x:v>Hearty Starter</x:v>
      </x:c>
      <x:c r="S53" s="60" t="n">
        <x:v>3</x:v>
      </x:c>
      <x:c r="T53" s="58" t="str">
        <x:v>data/cards.json</x:v>
      </x:c>
    </x:row>
    <x:row r="54" ht="30" customHeight="1">
      <x:c r="A54" s="60" t="n">
        <x:v>50</x:v>
      </x:c>
      <x:c r="B54" s="58" t="str">
        <x:v>hearty_french_bread_dog</x:v>
      </x:c>
      <x:c r="C54" s="58" t="str">
        <x:v>French Bread Dog</x:v>
      </x:c>
      <x:c r="D54" s="58" t="str"/>
      <x:c r="E54" s="58" t="str">
        <x:v>Ingredient</x:v>
      </x:c>
      <x:c r="F54" s="58" t="str">
        <x:v>Hearty</x:v>
      </x:c>
      <x:c r="G54" s="61" t="str">
        <x:v>No</x:v>
      </x:c>
      <x:c r="H54" s="61" t="str">
        <x:f>IF(E54="Chef","Mythic",IF(G54="Yes","Rare",IF(OR(E54="Meal",E54="Spice",E54="Environment"),"Uncommon","Common")))</x:f>
        <x:v>Common</x:v>
      </x:c>
      <x:c r="I54" s="60" t="n">
        <x:v>1</x:v>
      </x:c>
      <x:c r="J54" s="60" t="n">
        <x:v>2</x:v>
      </x:c>
      <x:c r="K54" s="58" t="str">
        <x:v>Hearty</x:v>
      </x:c>
      <x:c r="L54" s="60" t="n">
        <x:v>0</x:v>
      </x:c>
      <x:c r="M54" s="60" t="n">
        <x:v>0</x:v>
      </x:c>
      <x:c r="N54" s="60" t="n">
        <x:f>IF(E54="Meal",L54,M54)</x:f>
        <x:v>0</x:v>
      </x:c>
      <x:c r="O54" s="58" t="str">
        <x:v>Taunt</x:v>
      </x:c>
      <x:c r="P54" s="63" t="str">
        <x:v>Taunt — this Plated card must be attacked first.</x:v>
      </x:c>
      <x:c r="Q54" s="63" t="str"/>
      <x:c r="R54" s="63" t="str">
        <x:v>Hearty Starter</x:v>
      </x:c>
      <x:c r="S54" s="60" t="n">
        <x:v>3</x:v>
      </x:c>
      <x:c r="T54" s="58" t="str">
        <x:v>data/cards.json</x:v>
      </x:c>
    </x:row>
    <x:row r="55" ht="30" customHeight="1">
      <x:c r="A55" s="60" t="n">
        <x:v>51</x:v>
      </x:c>
      <x:c r="B55" s="58" t="str">
        <x:v>hearty_macaroni_manatee</x:v>
      </x:c>
      <x:c r="C55" s="58" t="str">
        <x:v>Macaronatee</x:v>
      </x:c>
      <x:c r="D55" s="58" t="str">
        <x:v>Macaroni Manatee</x:v>
      </x:c>
      <x:c r="E55" s="58" t="str">
        <x:v>Ingredient</x:v>
      </x:c>
      <x:c r="F55" s="58" t="str">
        <x:v>Hearty</x:v>
      </x:c>
      <x:c r="G55" s="61" t="str">
        <x:v>No</x:v>
      </x:c>
      <x:c r="H55" s="61" t="str">
        <x:f>IF(E55="Chef","Mythic",IF(G55="Yes","Rare",IF(OR(E55="Meal",E55="Spice",E55="Environment"),"Uncommon","Common")))</x:f>
        <x:v>Common</x:v>
      </x:c>
      <x:c r="I55" s="60" t="n">
        <x:v>2</x:v>
      </x:c>
      <x:c r="J55" s="60" t="n">
        <x:v>3</x:v>
      </x:c>
      <x:c r="K55" s="58" t="str">
        <x:v>Hearty</x:v>
      </x:c>
      <x:c r="L55" s="60" t="n">
        <x:v>0</x:v>
      </x:c>
      <x:c r="M55" s="60" t="n">
        <x:v>0</x:v>
      </x:c>
      <x:c r="N55" s="60" t="n">
        <x:f>IF(E55="Meal",L55,M55)</x:f>
        <x:v>0</x:v>
      </x:c>
      <x:c r="O55" s="58" t="str"/>
      <x:c r="P55" s="63" t="str"/>
      <x:c r="Q55" s="63" t="str"/>
      <x:c r="R55" s="63" t="str">
        <x:v>Hearty Starter</x:v>
      </x:c>
      <x:c r="S55" s="60" t="n">
        <x:v>3</x:v>
      </x:c>
      <x:c r="T55" s="58" t="str">
        <x:v>data/cards.json</x:v>
      </x:c>
    </x:row>
    <x:row r="56" ht="30" customHeight="1">
      <x:c r="A56" s="60" t="n">
        <x:v>52</x:v>
      </x:c>
      <x:c r="B56" s="58" t="str">
        <x:v>hearty_ramen_ram</x:v>
      </x:c>
      <x:c r="C56" s="58" t="str">
        <x:v>Ramen</x:v>
      </x:c>
      <x:c r="D56" s="58" t="str">
        <x:v>Ramen Ram</x:v>
      </x:c>
      <x:c r="E56" s="58" t="str">
        <x:v>Ingredient</x:v>
      </x:c>
      <x:c r="F56" s="58" t="str">
        <x:v>Hearty</x:v>
      </x:c>
      <x:c r="G56" s="61" t="str">
        <x:v>No</x:v>
      </x:c>
      <x:c r="H56" s="61" t="str">
        <x:f>IF(E56="Chef","Mythic",IF(G56="Yes","Rare",IF(OR(E56="Meal",E56="Spice",E56="Environment"),"Uncommon","Common")))</x:f>
        <x:v>Common</x:v>
      </x:c>
      <x:c r="I56" s="60" t="n">
        <x:v>1</x:v>
      </x:c>
      <x:c r="J56" s="60" t="n">
        <x:v>1</x:v>
      </x:c>
      <x:c r="K56" s="58" t="str">
        <x:v>Hearty</x:v>
      </x:c>
      <x:c r="L56" s="60" t="n">
        <x:v>0</x:v>
      </x:c>
      <x:c r="M56" s="60" t="n">
        <x:v>0</x:v>
      </x:c>
      <x:c r="N56" s="60" t="n">
        <x:f>IF(E56="Meal",L56,M56)</x:f>
        <x:v>0</x:v>
      </x:c>
      <x:c r="O56" s="58" t="str"/>
      <x:c r="P56" s="63" t="str">
        <x:v>When played, give one of your units +1 attack.</x:v>
      </x:c>
      <x:c r="Q56" s="63" t="str">
        <x:v>on_play</x:v>
      </x:c>
      <x:c r="R56" s="63" t="str">
        <x:v>Hearty Starter</x:v>
      </x:c>
      <x:c r="S56" s="60" t="n">
        <x:v>1</x:v>
      </x:c>
      <x:c r="T56" s="58" t="str">
        <x:v>data/cards.json</x:v>
      </x:c>
    </x:row>
    <x:row r="57" ht="30" customHeight="1">
      <x:c r="A57" s="60" t="n">
        <x:v>53</x:v>
      </x:c>
      <x:c r="B57" s="58" t="str">
        <x:v>hearty_baked_potato_pangolin</x:v>
      </x:c>
      <x:c r="C57" s="58" t="str">
        <x:v>Baked Potangolin</x:v>
      </x:c>
      <x:c r="D57" s="58" t="str">
        <x:v>Baked Potato Pangolin</x:v>
      </x:c>
      <x:c r="E57" s="58" t="str">
        <x:v>Ingredient</x:v>
      </x:c>
      <x:c r="F57" s="58" t="str">
        <x:v>Hearty</x:v>
      </x:c>
      <x:c r="G57" s="61" t="str">
        <x:v>Yes</x:v>
      </x:c>
      <x:c r="H57" s="61" t="str">
        <x:f>IF(E57="Chef","Mythic",IF(G57="Yes","Rare",IF(OR(E57="Meal",E57="Spice",E57="Environment"),"Uncommon","Common")))</x:f>
        <x:v>Rare</x:v>
      </x:c>
      <x:c r="I57" s="60" t="n">
        <x:v>2</x:v>
      </x:c>
      <x:c r="J57" s="60" t="n">
        <x:v>1</x:v>
      </x:c>
      <x:c r="K57" s="58" t="str">
        <x:v>Hearty</x:v>
      </x:c>
      <x:c r="L57" s="60" t="n">
        <x:v>0</x:v>
      </x:c>
      <x:c r="M57" s="60" t="n">
        <x:v>0</x:v>
      </x:c>
      <x:c r="N57" s="60" t="n">
        <x:f>IF(E57="Meal",L57,M57)</x:f>
        <x:v>0</x:v>
      </x:c>
      <x:c r="O57" s="58" t="str"/>
      <x:c r="P57" s="63" t="str">
        <x:v>When played, give a Plated unit +2 attack this turn.</x:v>
      </x:c>
      <x:c r="Q57" s="63" t="str">
        <x:v>on_play</x:v>
      </x:c>
      <x:c r="R57" s="63" t="str">
        <x:v>Hearty Starter</x:v>
      </x:c>
      <x:c r="S57" s="60" t="n">
        <x:v>1</x:v>
      </x:c>
      <x:c r="T57" s="58" t="str">
        <x:v>data/cards.json</x:v>
      </x:c>
    </x:row>
    <x:row r="58" ht="30" customHeight="1">
      <x:c r="A58" s="60" t="n">
        <x:v>54</x:v>
      </x:c>
      <x:c r="B58" s="58" t="str">
        <x:v>hearty_lemming_lentils</x:v>
      </x:c>
      <x:c r="C58" s="58" t="str">
        <x:v>Lentils</x:v>
      </x:c>
      <x:c r="D58" s="58" t="str">
        <x:v>Lemming Lentils</x:v>
      </x:c>
      <x:c r="E58" s="58" t="str">
        <x:v>Ingredient</x:v>
      </x:c>
      <x:c r="F58" s="58" t="str">
        <x:v>Hearty</x:v>
      </x:c>
      <x:c r="G58" s="61" t="str">
        <x:v>Yes</x:v>
      </x:c>
      <x:c r="H58" s="61" t="str">
        <x:f>IF(E58="Chef","Mythic",IF(G58="Yes","Rare",IF(OR(E58="Meal",E58="Spice",E58="Environment"),"Uncommon","Common")))</x:f>
        <x:v>Rare</x:v>
      </x:c>
      <x:c r="I58" s="60" t="n">
        <x:v>2</x:v>
      </x:c>
      <x:c r="J58" s="60" t="n">
        <x:v>1</x:v>
      </x:c>
      <x:c r="K58" s="58" t="str">
        <x:v>Hearty</x:v>
      </x:c>
      <x:c r="L58" s="60" t="n">
        <x:v>0</x:v>
      </x:c>
      <x:c r="M58" s="60" t="n">
        <x:v>0</x:v>
      </x:c>
      <x:c r="N58" s="60" t="n">
        <x:f>IF(E58="Meal",L58,M58)</x:f>
        <x:v>0</x:v>
      </x:c>
      <x:c r="O58" s="58" t="str"/>
      <x:c r="P58" s="63" t="str">
        <x:v>When played, search your deck for a Hearty meal.</x:v>
      </x:c>
      <x:c r="Q58" s="63" t="str">
        <x:v>on_play</x:v>
      </x:c>
      <x:c r="R58" s="63" t="str"/>
      <x:c r="S58" s="60" t="n">
        <x:v>0</x:v>
      </x:c>
      <x:c r="T58" s="58" t="str">
        <x:v>data/cards.json</x:v>
      </x:c>
    </x:row>
    <x:row r="59" ht="30" customHeight="1">
      <x:c r="A59" s="60" t="n">
        <x:v>55</x:v>
      </x:c>
      <x:c r="B59" s="58" t="str">
        <x:v>hearty_bird_beakon</x:v>
      </x:c>
      <x:c r="C59" s="58" t="str">
        <x:v>Bacon</x:v>
      </x:c>
      <x:c r="D59" s="58" t="str">
        <x:v>Bird Beakon</x:v>
      </x:c>
      <x:c r="E59" s="58" t="str">
        <x:v>Ingredient</x:v>
      </x:c>
      <x:c r="F59" s="58" t="str">
        <x:v>Hearty</x:v>
      </x:c>
      <x:c r="G59" s="61" t="str">
        <x:v>No</x:v>
      </x:c>
      <x:c r="H59" s="61" t="str">
        <x:f>IF(E59="Chef","Mythic",IF(G59="Yes","Rare",IF(OR(E59="Meal",E59="Spice",E59="Environment"),"Uncommon","Common")))</x:f>
        <x:v>Common</x:v>
      </x:c>
      <x:c r="I59" s="60" t="n">
        <x:v>2</x:v>
      </x:c>
      <x:c r="J59" s="60" t="n">
        <x:v>1</x:v>
      </x:c>
      <x:c r="K59" s="58" t="str">
        <x:v>Hearty</x:v>
      </x:c>
      <x:c r="L59" s="60" t="n">
        <x:v>0</x:v>
      </x:c>
      <x:c r="M59" s="60" t="n">
        <x:v>0</x:v>
      </x:c>
      <x:c r="N59" s="60" t="n">
        <x:f>IF(E59="Meal",L59,M59)</x:f>
        <x:v>0</x:v>
      </x:c>
      <x:c r="O59" s="58" t="str"/>
      <x:c r="P59" s="63" t="str">
        <x:v>When played, heal 2 damage from a unit.</x:v>
      </x:c>
      <x:c r="Q59" s="63" t="str">
        <x:v>on_play</x:v>
      </x:c>
      <x:c r="R59" s="63" t="str"/>
      <x:c r="S59" s="60" t="n">
        <x:v>0</x:v>
      </x:c>
      <x:c r="T59" s="58" t="str">
        <x:v>data/cards.json</x:v>
      </x:c>
    </x:row>
    <x:row r="60" ht="30" customHeight="1">
      <x:c r="A60" s="60" t="n">
        <x:v>56</x:v>
      </x:c>
      <x:c r="B60" s="58" t="str">
        <x:v>hearty_kale_whale</x:v>
      </x:c>
      <x:c r="C60" s="58" t="str">
        <x:v>Kwhale</x:v>
      </x:c>
      <x:c r="D60" s="58" t="str">
        <x:v>Kale Whale</x:v>
      </x:c>
      <x:c r="E60" s="58" t="str">
        <x:v>Ingredient</x:v>
      </x:c>
      <x:c r="F60" s="58" t="str">
        <x:v>Hearty</x:v>
      </x:c>
      <x:c r="G60" s="61" t="str">
        <x:v>Yes</x:v>
      </x:c>
      <x:c r="H60" s="61" t="str">
        <x:f>IF(E60="Chef","Mythic",IF(G60="Yes","Rare",IF(OR(E60="Meal",E60="Spice",E60="Environment"),"Uncommon","Common")))</x:f>
        <x:v>Rare</x:v>
      </x:c>
      <x:c r="I60" s="60" t="n">
        <x:v>1</x:v>
      </x:c>
      <x:c r="J60" s="60" t="n">
        <x:v>2</x:v>
      </x:c>
      <x:c r="K60" s="58" t="str">
        <x:v>Hearty</x:v>
      </x:c>
      <x:c r="L60" s="60" t="n">
        <x:v>0</x:v>
      </x:c>
      <x:c r="M60" s="60" t="n">
        <x:v>0</x:v>
      </x:c>
      <x:c r="N60" s="60" t="n">
        <x:f>IF(E60="Meal",L60,M60)</x:f>
        <x:v>0</x:v>
      </x:c>
      <x:c r="O60" s="58" t="str"/>
      <x:c r="P60" s="63" t="str">
        <x:v>When played, heal 1 damage from all your units.</x:v>
      </x:c>
      <x:c r="Q60" s="63" t="str">
        <x:v>on_play</x:v>
      </x:c>
      <x:c r="R60" s="63" t="str"/>
      <x:c r="S60" s="60" t="n">
        <x:v>0</x:v>
      </x:c>
      <x:c r="T60" s="58" t="str">
        <x:v>data/cards.json</x:v>
      </x:c>
    </x:row>
    <x:row r="61" ht="30" customHeight="1">
      <x:c r="A61" s="60" t="n">
        <x:v>57</x:v>
      </x:c>
      <x:c r="B61" s="58" t="str">
        <x:v>sweet_sugar_glider</x:v>
      </x:c>
      <x:c r="C61" s="58" t="str">
        <x:v>Sugar Glider</x:v>
      </x:c>
      <x:c r="D61" s="58" t="str"/>
      <x:c r="E61" s="58" t="str">
        <x:v>Ingredient</x:v>
      </x:c>
      <x:c r="F61" s="58" t="str">
        <x:v>Sweet</x:v>
      </x:c>
      <x:c r="G61" s="61" t="str">
        <x:v>No</x:v>
      </x:c>
      <x:c r="H61" s="61" t="str">
        <x:f>IF(E61="Chef","Mythic",IF(G61="Yes","Rare",IF(OR(E61="Meal",E61="Spice",E61="Environment"),"Uncommon","Common")))</x:f>
        <x:v>Common</x:v>
      </x:c>
      <x:c r="I61" s="60" t="n">
        <x:v>1</x:v>
      </x:c>
      <x:c r="J61" s="60" t="n">
        <x:v>2</x:v>
      </x:c>
      <x:c r="K61" s="58" t="str">
        <x:v>Sweet</x:v>
      </x:c>
      <x:c r="L61" s="60" t="n">
        <x:v>0</x:v>
      </x:c>
      <x:c r="M61" s="60" t="n">
        <x:v>0</x:v>
      </x:c>
      <x:c r="N61" s="60" t="n">
        <x:f>IF(E61="Meal",L61,M61)</x:f>
        <x:v>0</x:v>
      </x:c>
      <x:c r="O61" s="58" t="str"/>
      <x:c r="P61" s="63" t="str">
        <x:v>When sacrificed, draw 1 card.</x:v>
      </x:c>
      <x:c r="Q61" s="63" t="str">
        <x:v>on_sacrifice</x:v>
      </x:c>
      <x:c r="R61" s="63" t="str">
        <x:v>Sweet Starter</x:v>
      </x:c>
      <x:c r="S61" s="60" t="n">
        <x:v>3</x:v>
      </x:c>
      <x:c r="T61" s="58" t="str">
        <x:v>data/cards.json</x:v>
      </x:c>
    </x:row>
    <x:row r="62" ht="30" customHeight="1">
      <x:c r="A62" s="60" t="n">
        <x:v>58</x:v>
      </x:c>
      <x:c r="B62" s="58" t="str">
        <x:v>sweet_marshmallow_swallow</x:v>
      </x:c>
      <x:c r="C62" s="58" t="str">
        <x:v>Marshmallow Swallows</x:v>
      </x:c>
      <x:c r="D62" s="58" t="str"/>
      <x:c r="E62" s="58" t="str">
        <x:v>Ingredient</x:v>
      </x:c>
      <x:c r="F62" s="58" t="str">
        <x:v>Sweet</x:v>
      </x:c>
      <x:c r="G62" s="61" t="str">
        <x:v>No</x:v>
      </x:c>
      <x:c r="H62" s="61" t="str">
        <x:f>IF(E62="Chef","Mythic",IF(G62="Yes","Rare",IF(OR(E62="Meal",E62="Spice",E62="Environment"),"Uncommon","Common")))</x:f>
        <x:v>Common</x:v>
      </x:c>
      <x:c r="I62" s="60" t="n">
        <x:v>2</x:v>
      </x:c>
      <x:c r="J62" s="60" t="n">
        <x:v>3</x:v>
      </x:c>
      <x:c r="K62" s="58" t="str">
        <x:v>Sweet</x:v>
      </x:c>
      <x:c r="L62" s="60" t="n">
        <x:v>0</x:v>
      </x:c>
      <x:c r="M62" s="60" t="n">
        <x:v>0</x:v>
      </x:c>
      <x:c r="N62" s="60" t="n">
        <x:f>IF(E62="Meal",L62,M62)</x:f>
        <x:v>0</x:v>
      </x:c>
      <x:c r="O62" s="58" t="str"/>
      <x:c r="P62" s="63" t="str"/>
      <x:c r="Q62" s="63" t="str"/>
      <x:c r="R62" s="63" t="str">
        <x:v>Sweet Starter</x:v>
      </x:c>
      <x:c r="S62" s="60" t="n">
        <x:v>3</x:v>
      </x:c>
      <x:c r="T62" s="58" t="str">
        <x:v>data/cards.json</x:v>
      </x:c>
    </x:row>
    <x:row r="63" ht="30" customHeight="1">
      <x:c r="A63" s="60" t="n">
        <x:v>59</x:v>
      </x:c>
      <x:c r="B63" s="58" t="str">
        <x:v>sweet_caramel_camel</x:v>
      </x:c>
      <x:c r="C63" s="58" t="str">
        <x:v>Caramel Camel</x:v>
      </x:c>
      <x:c r="D63" s="58" t="str"/>
      <x:c r="E63" s="58" t="str">
        <x:v>Ingredient</x:v>
      </x:c>
      <x:c r="F63" s="58" t="str">
        <x:v>Sweet</x:v>
      </x:c>
      <x:c r="G63" s="61" t="str">
        <x:v>No</x:v>
      </x:c>
      <x:c r="H63" s="61" t="str">
        <x:f>IF(E63="Chef","Mythic",IF(G63="Yes","Rare",IF(OR(E63="Meal",E63="Spice",E63="Environment"),"Uncommon","Common")))</x:f>
        <x:v>Common</x:v>
      </x:c>
      <x:c r="I63" s="60" t="n">
        <x:v>1</x:v>
      </x:c>
      <x:c r="J63" s="60" t="n">
        <x:v>1</x:v>
      </x:c>
      <x:c r="K63" s="58" t="str">
        <x:v>Sweet</x:v>
      </x:c>
      <x:c r="L63" s="60" t="n">
        <x:v>0</x:v>
      </x:c>
      <x:c r="M63" s="60" t="n">
        <x:v>0</x:v>
      </x:c>
      <x:c r="N63" s="60" t="n">
        <x:f>IF(E63="Meal",L63,M63)</x:f>
        <x:v>0</x:v>
      </x:c>
      <x:c r="O63" s="58" t="str"/>
      <x:c r="P63" s="63" t="str">
        <x:v>When played, draw 1 card.</x:v>
      </x:c>
      <x:c r="Q63" s="63" t="str">
        <x:v>on_play</x:v>
      </x:c>
      <x:c r="R63" s="63" t="str">
        <x:v>Sweet Starter</x:v>
      </x:c>
      <x:c r="S63" s="60" t="n">
        <x:v>3</x:v>
      </x:c>
      <x:c r="T63" s="58" t="str">
        <x:v>data/cards.json</x:v>
      </x:c>
    </x:row>
    <x:row r="64" ht="30" customHeight="1">
      <x:c r="A64" s="60" t="n">
        <x:v>60</x:v>
      </x:c>
      <x:c r="B64" s="58" t="str">
        <x:v>sweet_toffee_collie</x:v>
      </x:c>
      <x:c r="C64" s="58" t="str">
        <x:v>Toffee Collie</x:v>
      </x:c>
      <x:c r="D64" s="58" t="str"/>
      <x:c r="E64" s="58" t="str">
        <x:v>Ingredient</x:v>
      </x:c>
      <x:c r="F64" s="58" t="str">
        <x:v>Sweet</x:v>
      </x:c>
      <x:c r="G64" s="61" t="str">
        <x:v>No</x:v>
      </x:c>
      <x:c r="H64" s="61" t="str">
        <x:f>IF(E64="Chef","Mythic",IF(G64="Yes","Rare",IF(OR(E64="Meal",E64="Spice",E64="Environment"),"Uncommon","Common")))</x:f>
        <x:v>Common</x:v>
      </x:c>
      <x:c r="I64" s="60" t="n">
        <x:v>1</x:v>
      </x:c>
      <x:c r="J64" s="60" t="n">
        <x:v>1</x:v>
      </x:c>
      <x:c r="K64" s="58" t="str">
        <x:v>Sweet</x:v>
      </x:c>
      <x:c r="L64" s="60" t="n">
        <x:v>0</x:v>
      </x:c>
      <x:c r="M64" s="60" t="n">
        <x:v>0</x:v>
      </x:c>
      <x:c r="N64" s="60" t="n">
        <x:f>IF(E64="Meal",L64,M64)</x:f>
        <x:v>0</x:v>
      </x:c>
      <x:c r="O64" s="58" t="str"/>
      <x:c r="P64" s="63" t="str">
        <x:v>When this deals combat damage to the opposing chef, they cannot use Tools next turn.</x:v>
      </x:c>
      <x:c r="Q64" s="63" t="str">
        <x:v>on_combat_damage_to_chef</x:v>
      </x:c>
      <x:c r="R64" s="63" t="str">
        <x:v>Sweet Starter</x:v>
      </x:c>
      <x:c r="S64" s="60" t="n">
        <x:v>1</x:v>
      </x:c>
      <x:c r="T64" s="58" t="str">
        <x:v>data/cards.json</x:v>
      </x:c>
    </x:row>
    <x:row r="65" ht="30" customHeight="1">
      <x:c r="A65" s="60" t="n">
        <x:v>61</x:v>
      </x:c>
      <x:c r="B65" s="58" t="str">
        <x:v>sweet_nutmeg_newt</x:v>
      </x:c>
      <x:c r="C65" s="58" t="str">
        <x:v>Nutmeg</x:v>
      </x:c>
      <x:c r="D65" s="58" t="str">
        <x:v>Newtmeg</x:v>
      </x:c>
      <x:c r="E65" s="58" t="str">
        <x:v>Ingredient</x:v>
      </x:c>
      <x:c r="F65" s="58" t="str">
        <x:v>Sweet</x:v>
      </x:c>
      <x:c r="G65" s="61" t="str">
        <x:v>No</x:v>
      </x:c>
      <x:c r="H65" s="61" t="str">
        <x:f>IF(E65="Chef","Mythic",IF(G65="Yes","Rare",IF(OR(E65="Meal",E65="Spice",E65="Environment"),"Uncommon","Common")))</x:f>
        <x:v>Common</x:v>
      </x:c>
      <x:c r="I65" s="60" t="n">
        <x:v>1</x:v>
      </x:c>
      <x:c r="J65" s="60" t="n">
        <x:v>2</x:v>
      </x:c>
      <x:c r="K65" s="58" t="str">
        <x:v>Sweet</x:v>
      </x:c>
      <x:c r="L65" s="60" t="n">
        <x:v>0</x:v>
      </x:c>
      <x:c r="M65" s="60" t="n">
        <x:v>0</x:v>
      </x:c>
      <x:c r="N65" s="60" t="n">
        <x:f>IF(E65="Meal",L65,M65)</x:f>
        <x:v>0</x:v>
      </x:c>
      <x:c r="O65" s="58" t="str">
        <x:v>Bodyguard</x:v>
      </x:c>
      <x:c r="P65" s="63" t="str">
        <x:v>Bodyguard — attacks into this card deal no piercing damage.</x:v>
      </x:c>
      <x:c r="Q65" s="63" t="str"/>
      <x:c r="R65" s="63" t="str">
        <x:v>Sweet Starter</x:v>
      </x:c>
      <x:c r="S65" s="60" t="n">
        <x:v>1</x:v>
      </x:c>
      <x:c r="T65" s="58" t="str">
        <x:v>data/cards.json</x:v>
      </x:c>
    </x:row>
    <x:row r="66" ht="30" customHeight="1">
      <x:c r="A66" s="60" t="n">
        <x:v>62</x:v>
      </x:c>
      <x:c r="B66" s="58" t="str">
        <x:v>sweet_vanilla_gorilla</x:v>
      </x:c>
      <x:c r="C66" s="58" t="str">
        <x:v>Vanilla Extract Gorilla</x:v>
      </x:c>
      <x:c r="D66" s="58" t="str"/>
      <x:c r="E66" s="58" t="str">
        <x:v>Ingredient</x:v>
      </x:c>
      <x:c r="F66" s="58" t="str">
        <x:v>Sweet</x:v>
      </x:c>
      <x:c r="G66" s="61" t="str">
        <x:v>Yes</x:v>
      </x:c>
      <x:c r="H66" s="61" t="str">
        <x:f>IF(E66="Chef","Mythic",IF(G66="Yes","Rare",IF(OR(E66="Meal",E66="Spice",E66="Environment"),"Uncommon","Common")))</x:f>
        <x:v>Rare</x:v>
      </x:c>
      <x:c r="I66" s="60" t="n">
        <x:v>1</x:v>
      </x:c>
      <x:c r="J66" s="60" t="n">
        <x:v>2</x:v>
      </x:c>
      <x:c r="K66" s="58" t="str">
        <x:v>Sweet</x:v>
      </x:c>
      <x:c r="L66" s="60" t="n">
        <x:v>0</x:v>
      </x:c>
      <x:c r="M66" s="60" t="n">
        <x:v>0</x:v>
      </x:c>
      <x:c r="N66" s="60" t="n">
        <x:f>IF(E66="Meal",L66,M66)</x:f>
        <x:v>0</x:v>
      </x:c>
      <x:c r="O66" s="58" t="str"/>
      <x:c r="P66" s="63" t="str">
        <x:v>When played, draw 1. If you control three other Sweet units, draw 2 instead.</x:v>
      </x:c>
      <x:c r="Q66" s="63" t="str">
        <x:v>on_play</x:v>
      </x:c>
      <x:c r="R66" s="63" t="str"/>
      <x:c r="S66" s="60" t="n">
        <x:v>0</x:v>
      </x:c>
      <x:c r="T66" s="58" t="str">
        <x:v>data/cards.json</x:v>
      </x:c>
    </x:row>
    <x:row r="67" ht="30" customHeight="1">
      <x:c r="A67" s="60" t="n">
        <x:v>63</x:v>
      </x:c>
      <x:c r="B67" s="58" t="str">
        <x:v>sweet_soft_serve_crab</x:v>
      </x:c>
      <x:c r="C67" s="58" t="str">
        <x:v>Soft Serve Crab</x:v>
      </x:c>
      <x:c r="D67" s="58" t="str"/>
      <x:c r="E67" s="58" t="str">
        <x:v>Ingredient</x:v>
      </x:c>
      <x:c r="F67" s="58" t="str">
        <x:v>Sweet</x:v>
      </x:c>
      <x:c r="G67" s="61" t="str">
        <x:v>Yes</x:v>
      </x:c>
      <x:c r="H67" s="61" t="str">
        <x:f>IF(E67="Chef","Mythic",IF(G67="Yes","Rare",IF(OR(E67="Meal",E67="Spice",E67="Environment"),"Uncommon","Common")))</x:f>
        <x:v>Rare</x:v>
      </x:c>
      <x:c r="I67" s="60" t="n">
        <x:v>1</x:v>
      </x:c>
      <x:c r="J67" s="60" t="n">
        <x:v>2</x:v>
      </x:c>
      <x:c r="K67" s="58" t="str">
        <x:v>Sweet</x:v>
      </x:c>
      <x:c r="L67" s="60" t="n">
        <x:v>0</x:v>
      </x:c>
      <x:c r="M67" s="60" t="n">
        <x:v>0</x:v>
      </x:c>
      <x:c r="N67" s="60" t="n">
        <x:f>IF(E67="Meal",L67,M67)</x:f>
        <x:v>0</x:v>
      </x:c>
      <x:c r="O67" s="58" t="str"/>
      <x:c r="P67" s="63" t="str">
        <x:v>When played, search your deck for a Sweet card.</x:v>
      </x:c>
      <x:c r="Q67" s="63" t="str">
        <x:v>on_play</x:v>
      </x:c>
      <x:c r="R67" s="63" t="str"/>
      <x:c r="S67" s="60" t="n">
        <x:v>0</x:v>
      </x:c>
      <x:c r="T67" s="58" t="str">
        <x:v>data/cards.json</x:v>
      </x:c>
    </x:row>
    <x:row r="68" ht="30" customHeight="1">
      <x:c r="A68" s="60" t="n">
        <x:v>64</x:v>
      </x:c>
      <x:c r="B68" s="58" t="str">
        <x:v>sweet_jellyfish</x:v>
      </x:c>
      <x:c r="C68" s="58" t="str">
        <x:v>Jellyfish</x:v>
      </x:c>
      <x:c r="D68" s="58" t="str"/>
      <x:c r="E68" s="58" t="str">
        <x:v>Ingredient</x:v>
      </x:c>
      <x:c r="F68" s="58" t="str">
        <x:v>Sweet</x:v>
      </x:c>
      <x:c r="G68" s="61" t="str">
        <x:v>Yes</x:v>
      </x:c>
      <x:c r="H68" s="61" t="str">
        <x:f>IF(E68="Chef","Mythic",IF(G68="Yes","Rare",IF(OR(E68="Meal",E68="Spice",E68="Environment"),"Uncommon","Common")))</x:f>
        <x:v>Rare</x:v>
      </x:c>
      <x:c r="I68" s="60" t="n">
        <x:v>1</x:v>
      </x:c>
      <x:c r="J68" s="60" t="n">
        <x:v>2</x:v>
      </x:c>
      <x:c r="K68" s="58" t="str">
        <x:v>Sweet</x:v>
      </x:c>
      <x:c r="L68" s="60" t="n">
        <x:v>0</x:v>
      </x:c>
      <x:c r="M68" s="60" t="n">
        <x:v>0</x:v>
      </x:c>
      <x:c r="N68" s="60" t="n">
        <x:f>IF(E68="Meal",L68,M68)</x:f>
        <x:v>0</x:v>
      </x:c>
      <x:c r="O68" s="58" t="str"/>
      <x:c r="P68" s="63" t="str">
        <x:v>When played, return an opposing ingredient to its owner's hand.</x:v>
      </x:c>
      <x:c r="Q68" s="63" t="str">
        <x:v>on_play</x:v>
      </x:c>
      <x:c r="R68" s="63" t="str"/>
      <x:c r="S68" s="60" t="n">
        <x:v>0</x:v>
      </x:c>
      <x:c r="T68" s="58" t="str">
        <x:v>data/cards.json</x:v>
      </x:c>
    </x:row>
    <x:row r="69" ht="30" customHeight="1">
      <x:c r="A69" s="60" t="n">
        <x:v>65</x:v>
      </x:c>
      <x:c r="B69" s="58" t="str">
        <x:v>item_spicy_shopping_list</x:v>
      </x:c>
      <x:c r="C69" s="58" t="str">
        <x:v>Spicy Shopping List</x:v>
      </x:c>
      <x:c r="D69" s="58" t="str"/>
      <x:c r="E69" s="58" t="str">
        <x:v>Tool</x:v>
      </x:c>
      <x:c r="F69" s="58" t="str">
        <x:v>Neutral</x:v>
      </x:c>
      <x:c r="G69" s="61" t="str">
        <x:v>No</x:v>
      </x:c>
      <x:c r="H69" s="61" t="str">
        <x:f>IF(E69="Chef","Mythic",IF(G69="Yes","Rare",IF(OR(E69="Meal",E69="Spice",E69="Environment"),"Uncommon","Common")))</x:f>
        <x:v>Common</x:v>
      </x:c>
      <x:c r="I69" s="60"/>
      <x:c r="J69" s="60"/>
      <x:c r="K69" s="58" t="str"/>
      <x:c r="L69" s="60" t="n">
        <x:v>0</x:v>
      </x:c>
      <x:c r="M69" s="60" t="n">
        <x:v>1</x:v>
      </x:c>
      <x:c r="N69" s="60" t="n">
        <x:f>IF(E69="Meal",L69,M69)</x:f>
        <x:v>1</x:v>
      </x:c>
      <x:c r="O69" s="58" t="str"/>
      <x:c r="P69" s="63" t="str">
        <x:v>Discard 1 card; search your deck for a Spicy ingredient.</x:v>
      </x:c>
      <x:c r="Q69" s="63" t="str">
        <x:v>effects</x:v>
      </x:c>
      <x:c r="R69" s="63" t="str">
        <x:v>Spicy Starter</x:v>
      </x:c>
      <x:c r="S69" s="60" t="n">
        <x:v>1</x:v>
      </x:c>
      <x:c r="T69" s="58" t="str">
        <x:v>data/cards.json</x:v>
      </x:c>
    </x:row>
    <x:row r="70" ht="30" customHeight="1">
      <x:c r="A70" s="60" t="n">
        <x:v>66</x:v>
      </x:c>
      <x:c r="B70" s="58" t="str">
        <x:v>item_sweet_shopping_list</x:v>
      </x:c>
      <x:c r="C70" s="58" t="str">
        <x:v>Sweet Shopping List</x:v>
      </x:c>
      <x:c r="D70" s="58" t="str"/>
      <x:c r="E70" s="58" t="str">
        <x:v>Tool</x:v>
      </x:c>
      <x:c r="F70" s="58" t="str">
        <x:v>Neutral</x:v>
      </x:c>
      <x:c r="G70" s="61" t="str">
        <x:v>No</x:v>
      </x:c>
      <x:c r="H70" s="61" t="str">
        <x:f>IF(E70="Chef","Mythic",IF(G70="Yes","Rare",IF(OR(E70="Meal",E70="Spice",E70="Environment"),"Uncommon","Common")))</x:f>
        <x:v>Common</x:v>
      </x:c>
      <x:c r="I70" s="60"/>
      <x:c r="J70" s="60"/>
      <x:c r="K70" s="58" t="str"/>
      <x:c r="L70" s="60" t="n">
        <x:v>0</x:v>
      </x:c>
      <x:c r="M70" s="60" t="n">
        <x:v>1</x:v>
      </x:c>
      <x:c r="N70" s="60" t="n">
        <x:f>IF(E70="Meal",L70,M70)</x:f>
        <x:v>1</x:v>
      </x:c>
      <x:c r="O70" s="58" t="str"/>
      <x:c r="P70" s="63" t="str">
        <x:v>Discard 1 card; search your deck for a Sweet ingredient.</x:v>
      </x:c>
      <x:c r="Q70" s="63" t="str">
        <x:v>effects</x:v>
      </x:c>
      <x:c r="R70" s="63" t="str">
        <x:v>Sweet Starter</x:v>
      </x:c>
      <x:c r="S70" s="60" t="n">
        <x:v>1</x:v>
      </x:c>
      <x:c r="T70" s="58" t="str">
        <x:v>data/cards.json</x:v>
      </x:c>
    </x:row>
    <x:row r="71" ht="30" customHeight="1">
      <x:c r="A71" s="60" t="n">
        <x:v>67</x:v>
      </x:c>
      <x:c r="B71" s="58" t="str">
        <x:v>item_hearty_shopping_list</x:v>
      </x:c>
      <x:c r="C71" s="58" t="str">
        <x:v>Hearty Shopping List</x:v>
      </x:c>
      <x:c r="D71" s="58" t="str"/>
      <x:c r="E71" s="58" t="str">
        <x:v>Tool</x:v>
      </x:c>
      <x:c r="F71" s="58" t="str">
        <x:v>Neutral</x:v>
      </x:c>
      <x:c r="G71" s="61" t="str">
        <x:v>No</x:v>
      </x:c>
      <x:c r="H71" s="61" t="str">
        <x:f>IF(E71="Chef","Mythic",IF(G71="Yes","Rare",IF(OR(E71="Meal",E71="Spice",E71="Environment"),"Uncommon","Common")))</x:f>
        <x:v>Common</x:v>
      </x:c>
      <x:c r="I71" s="60"/>
      <x:c r="J71" s="60"/>
      <x:c r="K71" s="58" t="str"/>
      <x:c r="L71" s="60" t="n">
        <x:v>0</x:v>
      </x:c>
      <x:c r="M71" s="60" t="n">
        <x:v>1</x:v>
      </x:c>
      <x:c r="N71" s="60" t="n">
        <x:f>IF(E71="Meal",L71,M71)</x:f>
        <x:v>1</x:v>
      </x:c>
      <x:c r="O71" s="58" t="str"/>
      <x:c r="P71" s="63" t="str">
        <x:v>Discard 1 card; search your deck for a Hearty ingredient.</x:v>
      </x:c>
      <x:c r="Q71" s="63" t="str">
        <x:v>effects</x:v>
      </x:c>
      <x:c r="R71" s="63" t="str">
        <x:v>Hearty Starter</x:v>
      </x:c>
      <x:c r="S71" s="60" t="n">
        <x:v>1</x:v>
      </x:c>
      <x:c r="T71" s="58" t="str">
        <x:v>data/cards.json</x:v>
      </x:c>
    </x:row>
    <x:row r="72" ht="30" customHeight="1">
      <x:c r="A72" s="60" t="n">
        <x:v>68</x:v>
      </x:c>
      <x:c r="B72" s="58" t="str">
        <x:v>item_fresh_shopping_list</x:v>
      </x:c>
      <x:c r="C72" s="58" t="str">
        <x:v>Fresh Shopping List</x:v>
      </x:c>
      <x:c r="D72" s="58" t="str"/>
      <x:c r="E72" s="58" t="str">
        <x:v>Tool</x:v>
      </x:c>
      <x:c r="F72" s="58" t="str">
        <x:v>Neutral</x:v>
      </x:c>
      <x:c r="G72" s="61" t="str">
        <x:v>No</x:v>
      </x:c>
      <x:c r="H72" s="61" t="str">
        <x:f>IF(E72="Chef","Mythic",IF(G72="Yes","Rare",IF(OR(E72="Meal",E72="Spice",E72="Environment"),"Uncommon","Common")))</x:f>
        <x:v>Common</x:v>
      </x:c>
      <x:c r="I72" s="60"/>
      <x:c r="J72" s="60"/>
      <x:c r="K72" s="58" t="str"/>
      <x:c r="L72" s="60" t="n">
        <x:v>0</x:v>
      </x:c>
      <x:c r="M72" s="60" t="n">
        <x:v>1</x:v>
      </x:c>
      <x:c r="N72" s="60" t="n">
        <x:f>IF(E72="Meal",L72,M72)</x:f>
        <x:v>1</x:v>
      </x:c>
      <x:c r="O72" s="58" t="str"/>
      <x:c r="P72" s="63" t="str">
        <x:v>Discard 1 card; search your deck for a Fresh Ingredient.</x:v>
      </x:c>
      <x:c r="Q72" s="63" t="str">
        <x:v>effects</x:v>
      </x:c>
      <x:c r="R72" s="63" t="str">
        <x:v>Fresh Starter</x:v>
      </x:c>
      <x:c r="S72" s="60" t="n">
        <x:v>1</x:v>
      </x:c>
      <x:c r="T72" s="58" t="str">
        <x:v>data/cards.json</x:v>
      </x:c>
    </x:row>
    <x:row r="73" ht="30" customHeight="1">
      <x:c r="A73" s="60" t="n">
        <x:v>69</x:v>
      </x:c>
      <x:c r="B73" s="58" t="str">
        <x:v>item_funky_shopping_list</x:v>
      </x:c>
      <x:c r="C73" s="58" t="str">
        <x:v>Funky Shopping List</x:v>
      </x:c>
      <x:c r="D73" s="58" t="str"/>
      <x:c r="E73" s="58" t="str">
        <x:v>Tool</x:v>
      </x:c>
      <x:c r="F73" s="58" t="str">
        <x:v>Neutral</x:v>
      </x:c>
      <x:c r="G73" s="61" t="str">
        <x:v>No</x:v>
      </x:c>
      <x:c r="H73" s="61" t="str">
        <x:f>IF(E73="Chef","Mythic",IF(G73="Yes","Rare",IF(OR(E73="Meal",E73="Spice",E73="Environment"),"Uncommon","Common")))</x:f>
        <x:v>Common</x:v>
      </x:c>
      <x:c r="I73" s="60"/>
      <x:c r="J73" s="60"/>
      <x:c r="K73" s="58" t="str"/>
      <x:c r="L73" s="60" t="n">
        <x:v>0</x:v>
      </x:c>
      <x:c r="M73" s="60" t="n">
        <x:v>1</x:v>
      </x:c>
      <x:c r="N73" s="60" t="n">
        <x:f>IF(E73="Meal",L73,M73)</x:f>
        <x:v>1</x:v>
      </x:c>
      <x:c r="O73" s="58" t="str"/>
      <x:c r="P73" s="63" t="str">
        <x:v>Discard 1 card; search your deck for a Funky Ingredient.</x:v>
      </x:c>
      <x:c r="Q73" s="63" t="str">
        <x:v>effects</x:v>
      </x:c>
      <x:c r="R73" s="63" t="str">
        <x:v>Funky Starter</x:v>
      </x:c>
      <x:c r="S73" s="60" t="n">
        <x:v>1</x:v>
      </x:c>
      <x:c r="T73" s="58" t="str">
        <x:v>data/cards.json</x:v>
      </x:c>
    </x:row>
    <x:row r="74" ht="30" customHeight="1">
      <x:c r="A74" s="60" t="n">
        <x:v>70</x:v>
      </x:c>
      <x:c r="B74" s="58" t="str">
        <x:v>item_recipe_prep</x:v>
      </x:c>
      <x:c r="C74" s="58" t="str">
        <x:v>Recipe Prep</x:v>
      </x:c>
      <x:c r="D74" s="58" t="str"/>
      <x:c r="E74" s="58" t="str">
        <x:v>Tool</x:v>
      </x:c>
      <x:c r="F74" s="58" t="str">
        <x:v>Neutral</x:v>
      </x:c>
      <x:c r="G74" s="61" t="str">
        <x:v>No</x:v>
      </x:c>
      <x:c r="H74" s="61" t="str">
        <x:f>IF(E74="Chef","Mythic",IF(G74="Yes","Rare",IF(OR(E74="Meal",E74="Spice",E74="Environment"),"Uncommon","Common")))</x:f>
        <x:v>Common</x:v>
      </x:c>
      <x:c r="I74" s="60"/>
      <x:c r="J74" s="60"/>
      <x:c r="K74" s="58" t="str"/>
      <x:c r="L74" s="60" t="n">
        <x:v>0</x:v>
      </x:c>
      <x:c r="M74" s="60" t="n">
        <x:v>2</x:v>
      </x:c>
      <x:c r="N74" s="60" t="n">
        <x:f>IF(E74="Meal",L74,M74)</x:f>
        <x:v>2</x:v>
      </x:c>
      <x:c r="O74" s="58" t="str"/>
      <x:c r="P74" s="63" t="str">
        <x:v>Discard 2 cards; search your deck for a unit.</x:v>
      </x:c>
      <x:c r="Q74" s="63" t="str">
        <x:v>effects</x:v>
      </x:c>
      <x:c r="R74" s="63" t="str">
        <x:v>Spicy Starter, Hearty Starter, Sweet Starter, Fresh Starter, Funky Starter</x:v>
      </x:c>
      <x:c r="S74" s="60" t="n">
        <x:v>13</x:v>
      </x:c>
      <x:c r="T74" s="58" t="str">
        <x:v>data/cards.json</x:v>
      </x:c>
    </x:row>
    <x:row r="75" ht="30" customHeight="1">
      <x:c r="A75" s="60" t="n">
        <x:v>71</x:v>
      </x:c>
      <x:c r="B75" s="58" t="str">
        <x:v>item_blow_torch</x:v>
      </x:c>
      <x:c r="C75" s="58" t="str">
        <x:v>Blow Torch</x:v>
      </x:c>
      <x:c r="D75" s="58" t="str"/>
      <x:c r="E75" s="58" t="str">
        <x:v>Tool</x:v>
      </x:c>
      <x:c r="F75" s="58" t="str">
        <x:v>Neutral</x:v>
      </x:c>
      <x:c r="G75" s="61" t="str">
        <x:v>No</x:v>
      </x:c>
      <x:c r="H75" s="61" t="str">
        <x:f>IF(E75="Chef","Mythic",IF(G75="Yes","Rare",IF(OR(E75="Meal",E75="Spice",E75="Environment"),"Uncommon","Common")))</x:f>
        <x:v>Common</x:v>
      </x:c>
      <x:c r="I75" s="60"/>
      <x:c r="J75" s="60"/>
      <x:c r="K75" s="58" t="str"/>
      <x:c r="L75" s="60" t="n">
        <x:v>0</x:v>
      </x:c>
      <x:c r="M75" s="60" t="n">
        <x:v>0</x:v>
      </x:c>
      <x:c r="N75" s="60" t="n">
        <x:f>IF(E75="Meal",L75,M75)</x:f>
        <x:v>0</x:v>
      </x:c>
      <x:c r="O75" s="58" t="str"/>
      <x:c r="P75" s="63" t="str">
        <x:v>Move a Spicy card to Prep; destroy a card your opponent controls.</x:v>
      </x:c>
      <x:c r="Q75" s="63" t="str">
        <x:v>effects</x:v>
      </x:c>
      <x:c r="R75" s="63" t="str"/>
      <x:c r="S75" s="60" t="n">
        <x:v>0</x:v>
      </x:c>
      <x:c r="T75" s="58" t="str">
        <x:v>data/cards.json</x:v>
      </x:c>
    </x:row>
    <x:row r="76" ht="30" customHeight="1">
      <x:c r="A76" s="60" t="n">
        <x:v>72</x:v>
      </x:c>
      <x:c r="B76" s="58" t="str">
        <x:v>item_tool_drawer</x:v>
      </x:c>
      <x:c r="C76" s="58" t="str">
        <x:v>Tool Drawer</x:v>
      </x:c>
      <x:c r="D76" s="58" t="str"/>
      <x:c r="E76" s="58" t="str">
        <x:v>Tool</x:v>
      </x:c>
      <x:c r="F76" s="58" t="str">
        <x:v>Neutral</x:v>
      </x:c>
      <x:c r="G76" s="61" t="str">
        <x:v>No</x:v>
      </x:c>
      <x:c r="H76" s="61" t="str">
        <x:f>IF(E76="Chef","Mythic",IF(G76="Yes","Rare",IF(OR(E76="Meal",E76="Spice",E76="Environment"),"Uncommon","Common")))</x:f>
        <x:v>Common</x:v>
      </x:c>
      <x:c r="I76" s="60"/>
      <x:c r="J76" s="60"/>
      <x:c r="K76" s="58" t="str"/>
      <x:c r="L76" s="60" t="n">
        <x:v>0</x:v>
      </x:c>
      <x:c r="M76" s="60" t="n">
        <x:v>0</x:v>
      </x:c>
      <x:c r="N76" s="60" t="n">
        <x:f>IF(E76="Meal",L76,M76)</x:f>
        <x:v>0</x:v>
      </x:c>
      <x:c r="O76" s="58" t="str"/>
      <x:c r="P76" s="63" t="str">
        <x:v>Look at the top 4 cards of your deck. Put a Tool from among them into your hand.</x:v>
      </x:c>
      <x:c r="Q76" s="63" t="str">
        <x:v>effects</x:v>
      </x:c>
      <x:c r="R76" s="63" t="str">
        <x:v>Spicy Starter, Hearty Starter, Sweet Starter, Fresh Starter, Funky Starter</x:v>
      </x:c>
      <x:c r="S76" s="60" t="n">
        <x:v>8</x:v>
      </x:c>
      <x:c r="T76" s="58" t="str">
        <x:v>data/cards.json</x:v>
      </x:c>
    </x:row>
    <x:row r="77" ht="30" customHeight="1">
      <x:c r="A77" s="60" t="n">
        <x:v>73</x:v>
      </x:c>
      <x:c r="B77" s="58" t="str">
        <x:v>item_tongs</x:v>
      </x:c>
      <x:c r="C77" s="58" t="str">
        <x:v>Tongs</x:v>
      </x:c>
      <x:c r="D77" s="58" t="str"/>
      <x:c r="E77" s="58" t="str">
        <x:v>Tool</x:v>
      </x:c>
      <x:c r="F77" s="58" t="str">
        <x:v>Neutral</x:v>
      </x:c>
      <x:c r="G77" s="61" t="str">
        <x:v>No</x:v>
      </x:c>
      <x:c r="H77" s="61" t="str">
        <x:f>IF(E77="Chef","Mythic",IF(G77="Yes","Rare",IF(OR(E77="Meal",E77="Spice",E77="Environment"),"Uncommon","Common")))</x:f>
        <x:v>Common</x:v>
      </x:c>
      <x:c r="I77" s="60"/>
      <x:c r="J77" s="60"/>
      <x:c r="K77" s="58" t="str"/>
      <x:c r="L77" s="60" t="n">
        <x:v>0</x:v>
      </x:c>
      <x:c r="M77" s="60" t="n">
        <x:v>0</x:v>
      </x:c>
      <x:c r="N77" s="60" t="n">
        <x:f>IF(E77="Meal",L77,M77)</x:f>
        <x:v>0</x:v>
      </x:c>
      <x:c r="O77" s="58" t="str"/>
      <x:c r="P77" s="63" t="str">
        <x:v>Your opponent reveals their hand. Put a unit from it onto their field.</x:v>
      </x:c>
      <x:c r="Q77" s="63" t="str">
        <x:v>effects</x:v>
      </x:c>
      <x:c r="R77" s="63" t="str"/>
      <x:c r="S77" s="60" t="n">
        <x:v>0</x:v>
      </x:c>
      <x:c r="T77" s="58" t="str">
        <x:v>data/cards.json</x:v>
      </x:c>
    </x:row>
    <x:row r="78" ht="30" customHeight="1">
      <x:c r="A78" s="60" t="n">
        <x:v>74</x:v>
      </x:c>
      <x:c r="B78" s="58" t="str">
        <x:v>item_strainer</x:v>
      </x:c>
      <x:c r="C78" s="58" t="str">
        <x:v>Strainer</x:v>
      </x:c>
      <x:c r="D78" s="58" t="str"/>
      <x:c r="E78" s="58" t="str">
        <x:v>Tool</x:v>
      </x:c>
      <x:c r="F78" s="58" t="str">
        <x:v>Neutral</x:v>
      </x:c>
      <x:c r="G78" s="61" t="str">
        <x:v>No</x:v>
      </x:c>
      <x:c r="H78" s="61" t="str">
        <x:f>IF(E78="Chef","Mythic",IF(G78="Yes","Rare",IF(OR(E78="Meal",E78="Spice",E78="Environment"),"Uncommon","Common")))</x:f>
        <x:v>Common</x:v>
      </x:c>
      <x:c r="I78" s="60"/>
      <x:c r="J78" s="60"/>
      <x:c r="K78" s="58" t="str"/>
      <x:c r="L78" s="60" t="n">
        <x:v>0</x:v>
      </x:c>
      <x:c r="M78" s="60" t="n">
        <x:v>0</x:v>
      </x:c>
      <x:c r="N78" s="60" t="n">
        <x:f>IF(E78="Meal",L78,M78)</x:f>
        <x:v>0</x:v>
      </x:c>
      <x:c r="O78" s="58" t="str"/>
      <x:c r="P78" s="63" t="str">
        <x:v>Shuffle 2 cards from your discard into your deck.</x:v>
      </x:c>
      <x:c r="Q78" s="63" t="str">
        <x:v>effects</x:v>
      </x:c>
      <x:c r="R78" s="63" t="str">
        <x:v>Fresh Starter, Funky Starter</x:v>
      </x:c>
      <x:c r="S78" s="60" t="n">
        <x:v>4</x:v>
      </x:c>
      <x:c r="T78" s="58" t="str">
        <x:v>data/cards.json</x:v>
      </x:c>
    </x:row>
    <x:row r="79" ht="30" customHeight="1">
      <x:c r="A79" s="60" t="n">
        <x:v>75</x:v>
      </x:c>
      <x:c r="B79" s="58" t="str">
        <x:v>item_hand_mixer</x:v>
      </x:c>
      <x:c r="C79" s="58" t="str">
        <x:v>Hand Mixer</x:v>
      </x:c>
      <x:c r="D79" s="58" t="str"/>
      <x:c r="E79" s="58" t="str">
        <x:v>Tool</x:v>
      </x:c>
      <x:c r="F79" s="58" t="str">
        <x:v>Neutral</x:v>
      </x:c>
      <x:c r="G79" s="61" t="str">
        <x:v>No</x:v>
      </x:c>
      <x:c r="H79" s="61" t="str">
        <x:f>IF(E79="Chef","Mythic",IF(G79="Yes","Rare",IF(OR(E79="Meal",E79="Spice",E79="Environment"),"Uncommon","Common")))</x:f>
        <x:v>Common</x:v>
      </x:c>
      <x:c r="I79" s="60"/>
      <x:c r="J79" s="60"/>
      <x:c r="K79" s="58" t="str"/>
      <x:c r="L79" s="60" t="n">
        <x:v>0</x:v>
      </x:c>
      <x:c r="M79" s="60" t="n">
        <x:v>0</x:v>
      </x:c>
      <x:c r="N79" s="60" t="n">
        <x:f>IF(E79="Meal",L79,M79)</x:f>
        <x:v>0</x:v>
      </x:c>
      <x:c r="O79" s="58" t="str"/>
      <x:c r="P79" s="63" t="str">
        <x:v>Swap the attack and health of a unit.</x:v>
      </x:c>
      <x:c r="Q79" s="63" t="str">
        <x:v>effects</x:v>
      </x:c>
      <x:c r="R79" s="63" t="str"/>
      <x:c r="S79" s="60" t="n">
        <x:v>0</x:v>
      </x:c>
      <x:c r="T79" s="58" t="str">
        <x:v>data/cards.json</x:v>
      </x:c>
    </x:row>
    <x:row r="80" ht="30" customHeight="1">
      <x:c r="A80" s="60" t="n">
        <x:v>76</x:v>
      </x:c>
      <x:c r="B80" s="58" t="str">
        <x:v>item_grater</x:v>
      </x:c>
      <x:c r="C80" s="58" t="str">
        <x:v>Grater</x:v>
      </x:c>
      <x:c r="D80" s="58" t="str"/>
      <x:c r="E80" s="58" t="str">
        <x:v>Tool</x:v>
      </x:c>
      <x:c r="F80" s="58" t="str">
        <x:v>Neutral</x:v>
      </x:c>
      <x:c r="G80" s="61" t="str">
        <x:v>No</x:v>
      </x:c>
      <x:c r="H80" s="61" t="str">
        <x:f>IF(E80="Chef","Mythic",IF(G80="Yes","Rare",IF(OR(E80="Meal",E80="Spice",E80="Environment"),"Uncommon","Common")))</x:f>
        <x:v>Common</x:v>
      </x:c>
      <x:c r="I80" s="60"/>
      <x:c r="J80" s="60"/>
      <x:c r="K80" s="58" t="str"/>
      <x:c r="L80" s="60" t="n">
        <x:v>0</x:v>
      </x:c>
      <x:c r="M80" s="60" t="n">
        <x:v>0</x:v>
      </x:c>
      <x:c r="N80" s="60" t="n">
        <x:f>IF(E80="Meal",L80,M80)</x:f>
        <x:v>0</x:v>
      </x:c>
      <x:c r="O80" s="58" t="str"/>
      <x:c r="P80" s="63" t="str">
        <x:v>Remove a Spice from an opposing unit.</x:v>
      </x:c>
      <x:c r="Q80" s="63" t="str">
        <x:v>effects</x:v>
      </x:c>
      <x:c r="R80" s="63" t="str"/>
      <x:c r="S80" s="60" t="n">
        <x:v>0</x:v>
      </x:c>
      <x:c r="T80" s="58" t="str">
        <x:v>data/cards.json</x:v>
      </x:c>
    </x:row>
    <x:row r="81" ht="30" customHeight="1">
      <x:c r="A81" s="60" t="n">
        <x:v>77</x:v>
      </x:c>
      <x:c r="B81" s="58" t="str">
        <x:v>item_measuring_cup</x:v>
      </x:c>
      <x:c r="C81" s="58" t="str">
        <x:v>Measuring Cup</x:v>
      </x:c>
      <x:c r="D81" s="58" t="str"/>
      <x:c r="E81" s="58" t="str">
        <x:v>Tool</x:v>
      </x:c>
      <x:c r="F81" s="58" t="str">
        <x:v>Neutral</x:v>
      </x:c>
      <x:c r="G81" s="61" t="str">
        <x:v>No</x:v>
      </x:c>
      <x:c r="H81" s="61" t="str">
        <x:f>IF(E81="Chef","Mythic",IF(G81="Yes","Rare",IF(OR(E81="Meal",E81="Spice",E81="Environment"),"Uncommon","Common")))</x:f>
        <x:v>Common</x:v>
      </x:c>
      <x:c r="I81" s="60"/>
      <x:c r="J81" s="60"/>
      <x:c r="K81" s="58" t="str"/>
      <x:c r="L81" s="60" t="n">
        <x:v>0</x:v>
      </x:c>
      <x:c r="M81" s="60" t="n">
        <x:v>2</x:v>
      </x:c>
      <x:c r="N81" s="60" t="n">
        <x:f>IF(E81="Meal",L81,M81)</x:f>
        <x:v>2</x:v>
      </x:c>
      <x:c r="O81" s="58" t="str"/>
      <x:c r="P81" s="63" t="str">
        <x:v>Discard 2 cards; return 2 units from your discard to your hand.</x:v>
      </x:c>
      <x:c r="Q81" s="63" t="str">
        <x:v>effects</x:v>
      </x:c>
      <x:c r="R81" s="63" t="str"/>
      <x:c r="S81" s="60" t="n">
        <x:v>0</x:v>
      </x:c>
      <x:c r="T81" s="58" t="str">
        <x:v>data/cards.json</x:v>
      </x:c>
    </x:row>
    <x:row r="82" ht="30" customHeight="1">
      <x:c r="A82" s="60" t="n">
        <x:v>78</x:v>
      </x:c>
      <x:c r="B82" s="58" t="str">
        <x:v>item_wooden_spoon</x:v>
      </x:c>
      <x:c r="C82" s="58" t="str">
        <x:v>Wooden Spoon</x:v>
      </x:c>
      <x:c r="D82" s="58" t="str"/>
      <x:c r="E82" s="58" t="str">
        <x:v>Tool</x:v>
      </x:c>
      <x:c r="F82" s="58" t="str">
        <x:v>Neutral</x:v>
      </x:c>
      <x:c r="G82" s="61" t="str">
        <x:v>No</x:v>
      </x:c>
      <x:c r="H82" s="61" t="str">
        <x:f>IF(E82="Chef","Mythic",IF(G82="Yes","Rare",IF(OR(E82="Meal",E82="Spice",E82="Environment"),"Uncommon","Common")))</x:f>
        <x:v>Common</x:v>
      </x:c>
      <x:c r="I82" s="60"/>
      <x:c r="J82" s="60"/>
      <x:c r="K82" s="58" t="str"/>
      <x:c r="L82" s="60" t="n">
        <x:v>0</x:v>
      </x:c>
      <x:c r="M82" s="60" t="n">
        <x:v>0</x:v>
      </x:c>
      <x:c r="N82" s="60" t="n">
        <x:f>IF(E82="Meal",L82,M82)</x:f>
        <x:v>0</x:v>
      </x:c>
      <x:c r="O82" s="58" t="str"/>
      <x:c r="P82" s="63" t="str">
        <x:v>Draw 1 card.</x:v>
      </x:c>
      <x:c r="Q82" s="63" t="str">
        <x:v>effects</x:v>
      </x:c>
      <x:c r="R82" s="63" t="str">
        <x:v>Spicy Starter, Hearty Starter, Sweet Starter, Fresh Starter, Funky Starter</x:v>
      </x:c>
      <x:c r="S82" s="60" t="n">
        <x:v>15</x:v>
      </x:c>
      <x:c r="T82" s="58" t="str">
        <x:v>data/cards.json</x:v>
      </x:c>
    </x:row>
    <x:row r="83" ht="30" customHeight="1">
      <x:c r="A83" s="60" t="n">
        <x:v>79</x:v>
      </x:c>
      <x:c r="B83" s="58" t="str">
        <x:v>spice_cayenne_crunch</x:v>
      </x:c>
      <x:c r="C83" s="58" t="str">
        <x:v>Cayenne Crunch</x:v>
      </x:c>
      <x:c r="D83" s="58" t="str"/>
      <x:c r="E83" s="58" t="str">
        <x:v>Spice</x:v>
      </x:c>
      <x:c r="F83" s="58" t="str">
        <x:v>Spicy</x:v>
      </x:c>
      <x:c r="G83" s="61" t="str">
        <x:v>No</x:v>
      </x:c>
      <x:c r="H83" s="61" t="str">
        <x:f>IF(E83="Chef","Mythic",IF(G83="Yes","Rare",IF(OR(E83="Meal",E83="Spice",E83="Environment"),"Uncommon","Common")))</x:f>
        <x:v>Uncommon</x:v>
      </x:c>
      <x:c r="I83" s="60"/>
      <x:c r="J83" s="60"/>
      <x:c r="K83" s="58" t="str"/>
      <x:c r="L83" s="60" t="n">
        <x:v>0</x:v>
      </x:c>
      <x:c r="M83" s="60" t="n">
        <x:v>0</x:v>
      </x:c>
      <x:c r="N83" s="60" t="n">
        <x:f>IF(E83="Meal",L83,M83)</x:f>
        <x:v>0</x:v>
      </x:c>
      <x:c r="O83" s="58" t="str"/>
      <x:c r="P83" s="63" t="str">
        <x:v>Attached card gets +1 Attack.</x:v>
      </x:c>
      <x:c r="Q83" s="63" t="str">
        <x:v>attack_bonus</x:v>
      </x:c>
      <x:c r="R83" s="63" t="str"/>
      <x:c r="S83" s="60" t="n">
        <x:v>0</x:v>
      </x:c>
      <x:c r="T83" s="58" t="str">
        <x:v>data/cards.json</x:v>
      </x:c>
    </x:row>
    <x:row r="84" ht="30" customHeight="1">
      <x:c r="A84" s="60" t="n">
        <x:v>80</x:v>
      </x:c>
      <x:c r="B84" s="58" t="str">
        <x:v>spice_savory_gravy</x:v>
      </x:c>
      <x:c r="C84" s="58" t="str">
        <x:v>Savory Gravy</x:v>
      </x:c>
      <x:c r="D84" s="58" t="str"/>
      <x:c r="E84" s="58" t="str">
        <x:v>Spice</x:v>
      </x:c>
      <x:c r="F84" s="58" t="str">
        <x:v>Hearty</x:v>
      </x:c>
      <x:c r="G84" s="61" t="str">
        <x:v>No</x:v>
      </x:c>
      <x:c r="H84" s="61" t="str">
        <x:f>IF(E84="Chef","Mythic",IF(G84="Yes","Rare",IF(OR(E84="Meal",E84="Spice",E84="Environment"),"Uncommon","Common")))</x:f>
        <x:v>Uncommon</x:v>
      </x:c>
      <x:c r="I84" s="60"/>
      <x:c r="J84" s="60"/>
      <x:c r="K84" s="58" t="str"/>
      <x:c r="L84" s="60" t="n">
        <x:v>0</x:v>
      </x:c>
      <x:c r="M84" s="60" t="n">
        <x:v>0</x:v>
      </x:c>
      <x:c r="N84" s="60" t="n">
        <x:f>IF(E84="Meal",L84,M84)</x:f>
        <x:v>0</x:v>
      </x:c>
      <x:c r="O84" s="58" t="str"/>
      <x:c r="P84" s="63" t="str">
        <x:v>Attached card gets +2 Health.</x:v>
      </x:c>
      <x:c r="Q84" s="63" t="str">
        <x:v>health_bonus</x:v>
      </x:c>
      <x:c r="R84" s="63" t="str"/>
      <x:c r="S84" s="60" t="n">
        <x:v>0</x:v>
      </x:c>
      <x:c r="T84" s="58" t="str">
        <x:v>data/cards.json</x:v>
      </x:c>
    </x:row>
    <x:row r="85" ht="30" customHeight="1">
      <x:c r="A85" s="60" t="n">
        <x:v>81</x:v>
      </x:c>
      <x:c r="B85" s="58" t="str">
        <x:v>spice_sugar_glaze</x:v>
      </x:c>
      <x:c r="C85" s="58" t="str">
        <x:v>Sugar Glaze</x:v>
      </x:c>
      <x:c r="D85" s="58" t="str"/>
      <x:c r="E85" s="58" t="str">
        <x:v>Spice</x:v>
      </x:c>
      <x:c r="F85" s="58" t="str">
        <x:v>Sweet</x:v>
      </x:c>
      <x:c r="G85" s="61" t="str">
        <x:v>No</x:v>
      </x:c>
      <x:c r="H85" s="61" t="str">
        <x:f>IF(E85="Chef","Mythic",IF(G85="Yes","Rare",IF(OR(E85="Meal",E85="Spice",E85="Environment"),"Uncommon","Common")))</x:f>
        <x:v>Uncommon</x:v>
      </x:c>
      <x:c r="I85" s="60"/>
      <x:c r="J85" s="60"/>
      <x:c r="K85" s="58" t="str"/>
      <x:c r="L85" s="60" t="n">
        <x:v>0</x:v>
      </x:c>
      <x:c r="M85" s="60" t="n">
        <x:v>0</x:v>
      </x:c>
      <x:c r="N85" s="60" t="n">
        <x:f>IF(E85="Meal",L85,M85)</x:f>
        <x:v>0</x:v>
      </x:c>
      <x:c r="O85" s="58" t="str"/>
      <x:c r="P85" s="63" t="str">
        <x:v>Attached card gets +1/+1.</x:v>
      </x:c>
      <x:c r="Q85" s="63" t="str">
        <x:v>attack_bonus, health_bonus</x:v>
      </x:c>
      <x:c r="R85" s="63" t="str"/>
      <x:c r="S85" s="60" t="n">
        <x:v>0</x:v>
      </x:c>
      <x:c r="T85" s="58" t="str">
        <x:v>data/cards.json</x:v>
      </x:c>
    </x:row>
    <x:row r="86" ht="30" customHeight="1">
      <x:c r="A86" s="60" t="n">
        <x:v>82</x:v>
      </x:c>
      <x:c r="B86" s="58" t="str">
        <x:v>environment_blazing_wok</x:v>
      </x:c>
      <x:c r="C86" s="58" t="str">
        <x:v>Blazing Wok</x:v>
      </x:c>
      <x:c r="D86" s="58" t="str"/>
      <x:c r="E86" s="58" t="str">
        <x:v>Environment</x:v>
      </x:c>
      <x:c r="F86" s="58" t="str">
        <x:v>Spicy</x:v>
      </x:c>
      <x:c r="G86" s="61" t="str">
        <x:v>No</x:v>
      </x:c>
      <x:c r="H86" s="61" t="str">
        <x:f>IF(E86="Chef","Mythic",IF(G86="Yes","Rare",IF(OR(E86="Meal",E86="Spice",E86="Environment"),"Uncommon","Common")))</x:f>
        <x:v>Uncommon</x:v>
      </x:c>
      <x:c r="I86" s="60"/>
      <x:c r="J86" s="60"/>
      <x:c r="K86" s="58" t="str"/>
      <x:c r="L86" s="60" t="n">
        <x:v>0</x:v>
      </x:c>
      <x:c r="M86" s="60" t="n">
        <x:v>0</x:v>
      </x:c>
      <x:c r="N86" s="60" t="n">
        <x:f>IF(E86="Meal",L86,M86)</x:f>
        <x:v>0</x:v>
      </x:c>
      <x:c r="O86" s="58" t="str"/>
      <x:c r="P86" s="63" t="str">
        <x:v>Meals you serve enter with +1 Attack.</x:v>
      </x:c>
      <x:c r="Q86" s="63" t="str">
        <x:v>meal_attack_bonus</x:v>
      </x:c>
      <x:c r="R86" s="63" t="str"/>
      <x:c r="S86" s="60" t="n">
        <x:v>0</x:v>
      </x:c>
      <x:c r="T86" s="58" t="str">
        <x:v>data/cards.json</x:v>
      </x:c>
    </x:row>
    <x:row r="87" ht="30" customHeight="1">
      <x:c r="A87" s="60" t="n">
        <x:v>83</x:v>
      </x:c>
      <x:c r="B87" s="58" t="str">
        <x:v>environment_slow_cooker</x:v>
      </x:c>
      <x:c r="C87" s="58" t="str">
        <x:v>Slow Cooker</x:v>
      </x:c>
      <x:c r="D87" s="58" t="str"/>
      <x:c r="E87" s="58" t="str">
        <x:v>Environment</x:v>
      </x:c>
      <x:c r="F87" s="58" t="str">
        <x:v>Hearty</x:v>
      </x:c>
      <x:c r="G87" s="61" t="str">
        <x:v>No</x:v>
      </x:c>
      <x:c r="H87" s="61" t="str">
        <x:f>IF(E87="Chef","Mythic",IF(G87="Yes","Rare",IF(OR(E87="Meal",E87="Spice",E87="Environment"),"Uncommon","Common")))</x:f>
        <x:v>Uncommon</x:v>
      </x:c>
      <x:c r="I87" s="60"/>
      <x:c r="J87" s="60"/>
      <x:c r="K87" s="58" t="str"/>
      <x:c r="L87" s="60" t="n">
        <x:v>0</x:v>
      </x:c>
      <x:c r="M87" s="60" t="n">
        <x:v>0</x:v>
      </x:c>
      <x:c r="N87" s="60" t="n">
        <x:f>IF(E87="Meal",L87,M87)</x:f>
        <x:v>0</x:v>
      </x:c>
      <x:c r="O87" s="58" t="str"/>
      <x:c r="P87" s="63" t="str">
        <x:v>At the start of your turn, each of your Ingredients gets +1/+1.</x:v>
      </x:c>
      <x:c r="Q87" s="63" t="str">
        <x:v>ingredient_growth</x:v>
      </x:c>
      <x:c r="R87" s="63" t="str"/>
      <x:c r="S87" s="60" t="n">
        <x:v>0</x:v>
      </x:c>
      <x:c r="T87" s="58" t="str">
        <x:v>data/cards.json</x:v>
      </x:c>
    </x:row>
    <x:row r="88" ht="30" customHeight="1">
      <x:c r="A88" s="60" t="n">
        <x:v>84</x:v>
      </x:c>
      <x:c r="B88" s="58" t="str">
        <x:v>environment_dessert_display</x:v>
      </x:c>
      <x:c r="C88" s="58" t="str">
        <x:v>Dessert Display</x:v>
      </x:c>
      <x:c r="D88" s="58" t="str"/>
      <x:c r="E88" s="58" t="str">
        <x:v>Environment</x:v>
      </x:c>
      <x:c r="F88" s="58" t="str">
        <x:v>Sweet</x:v>
      </x:c>
      <x:c r="G88" s="61" t="str">
        <x:v>No</x:v>
      </x:c>
      <x:c r="H88" s="61" t="str">
        <x:f>IF(E88="Chef","Mythic",IF(G88="Yes","Rare",IF(OR(E88="Meal",E88="Spice",E88="Environment"),"Uncommon","Common")))</x:f>
        <x:v>Uncommon</x:v>
      </x:c>
      <x:c r="I88" s="60"/>
      <x:c r="J88" s="60"/>
      <x:c r="K88" s="58" t="str"/>
      <x:c r="L88" s="60" t="n">
        <x:v>0</x:v>
      </x:c>
      <x:c r="M88" s="60" t="n">
        <x:v>0</x:v>
      </x:c>
      <x:c r="N88" s="60" t="n">
        <x:f>IF(E88="Meal",L88,M88)</x:f>
        <x:v>0</x:v>
      </x:c>
      <x:c r="O88" s="58" t="str"/>
      <x:c r="P88" s="63" t="str">
        <x:v>Meals you serve enter with +1 Health.</x:v>
      </x:c>
      <x:c r="Q88" s="63" t="str">
        <x:v>meal_health_bonus</x:v>
      </x:c>
      <x:c r="R88" s="63" t="str"/>
      <x:c r="S88" s="60" t="n">
        <x:v>0</x:v>
      </x:c>
      <x:c r="T88" s="58" t="str">
        <x:v>data/cards.json</x:v>
      </x:c>
    </x:row>
    <x:row r="89" ht="30" customHeight="1">
      <x:c r="A89" s="60" t="n">
        <x:v>85</x:v>
      </x:c>
      <x:c r="B89" s="58" t="str">
        <x:v>chef_john</x:v>
      </x:c>
      <x:c r="C89" s="58" t="str">
        <x:v>Chef John</x:v>
      </x:c>
      <x:c r="D89" s="58" t="str"/>
      <x:c r="E89" s="58" t="str">
        <x:v>Chef</x:v>
      </x:c>
      <x:c r="F89" s="58" t="str">
        <x:v>Neutral</x:v>
      </x:c>
      <x:c r="G89" s="61" t="str">
        <x:v>No</x:v>
      </x:c>
      <x:c r="H89" s="61" t="str">
        <x:f>IF(E89="Chef","Mythic",IF(G89="Yes","Rare",IF(OR(E89="Meal",E89="Spice",E89="Environment"),"Uncommon","Common")))</x:f>
        <x:v>Mythic</x:v>
      </x:c>
      <x:c r="I89" s="60"/>
      <x:c r="J89" s="60"/>
      <x:c r="K89" s="58" t="str"/>
      <x:c r="L89" s="60" t="n">
        <x:v>0</x:v>
      </x:c>
      <x:c r="M89" s="60" t="n">
        <x:v>0</x:v>
      </x:c>
      <x:c r="N89" s="60" t="n">
        <x:f>IF(E89="Meal",L89,M89)</x:f>
        <x:v>0</x:v>
      </x:c>
      <x:c r="O89" s="58" t="str"/>
      <x:c r="P89" s="63" t="str">
        <x:v>Discard your hand, then draw 6 cards.</x:v>
      </x:c>
      <x:c r="Q89" s="63" t="str">
        <x:v>effects</x:v>
      </x:c>
      <x:c r="R89" s="63" t="str"/>
      <x:c r="S89" s="60" t="n">
        <x:v>0</x:v>
      </x:c>
      <x:c r="T89" s="58" t="str">
        <x:v>data/cards.json</x:v>
      </x:c>
    </x:row>
    <x:row r="90" ht="30" customHeight="1">
      <x:c r="A90" s="60" t="n">
        <x:v>86</x:v>
      </x:c>
      <x:c r="B90" s="58" t="str">
        <x:v>chef_bill</x:v>
      </x:c>
      <x:c r="C90" s="58" t="str">
        <x:v>Chef Bill</x:v>
      </x:c>
      <x:c r="D90" s="58" t="str"/>
      <x:c r="E90" s="58" t="str">
        <x:v>Chef</x:v>
      </x:c>
      <x:c r="F90" s="58" t="str">
        <x:v>Neutral</x:v>
      </x:c>
      <x:c r="G90" s="61" t="str">
        <x:v>No</x:v>
      </x:c>
      <x:c r="H90" s="61" t="str">
        <x:f>IF(E90="Chef","Mythic",IF(G90="Yes","Rare",IF(OR(E90="Meal",E90="Spice",E90="Environment"),"Uncommon","Common")))</x:f>
        <x:v>Mythic</x:v>
      </x:c>
      <x:c r="I90" s="60"/>
      <x:c r="J90" s="60"/>
      <x:c r="K90" s="58" t="str"/>
      <x:c r="L90" s="60" t="n">
        <x:v>0</x:v>
      </x:c>
      <x:c r="M90" s="60" t="n">
        <x:v>0</x:v>
      </x:c>
      <x:c r="N90" s="60" t="n">
        <x:f>IF(E90="Meal",L90,M90)</x:f>
        <x:v>0</x:v>
      </x:c>
      <x:c r="O90" s="58" t="str"/>
      <x:c r="P90" s="63" t="str">
        <x:v>Search your deck for 1 Ingredient and 1 Meal.</x:v>
      </x:c>
      <x:c r="Q90" s="63" t="str">
        <x:v>effects</x:v>
      </x:c>
      <x:c r="R90" s="63" t="str"/>
      <x:c r="S90" s="60" t="n">
        <x:v>0</x:v>
      </x:c>
      <x:c r="T90" s="58" t="str">
        <x:v>data/cards.json</x:v>
      </x:c>
    </x:row>
    <x:row r="91" ht="30" customHeight="1">
      <x:c r="A91" s="60" t="n">
        <x:v>87</x:v>
      </x:c>
      <x:c r="B91" s="58" t="str">
        <x:v>chef_carl</x:v>
      </x:c>
      <x:c r="C91" s="58" t="str">
        <x:v>Chef Carl</x:v>
      </x:c>
      <x:c r="D91" s="58" t="str"/>
      <x:c r="E91" s="58" t="str">
        <x:v>Chef</x:v>
      </x:c>
      <x:c r="F91" s="58" t="str">
        <x:v>Neutral</x:v>
      </x:c>
      <x:c r="G91" s="61" t="str">
        <x:v>No</x:v>
      </x:c>
      <x:c r="H91" s="61" t="str">
        <x:f>IF(E91="Chef","Mythic",IF(G91="Yes","Rare",IF(OR(E91="Meal",E91="Spice",E91="Environment"),"Uncommon","Common")))</x:f>
        <x:v>Mythic</x:v>
      </x:c>
      <x:c r="I91" s="60"/>
      <x:c r="J91" s="60"/>
      <x:c r="K91" s="58" t="str"/>
      <x:c r="L91" s="60" t="n">
        <x:v>0</x:v>
      </x:c>
      <x:c r="M91" s="60" t="n">
        <x:v>0</x:v>
      </x:c>
      <x:c r="N91" s="60" t="n">
        <x:f>IF(E91="Meal",L91,M91)</x:f>
        <x:v>0</x:v>
      </x:c>
      <x:c r="O91" s="58" t="str"/>
      <x:c r="P91" s="63" t="str">
        <x:v>Return 1 Meal from your discard to your hand.</x:v>
      </x:c>
      <x:c r="Q91" s="63" t="str">
        <x:v>effects</x:v>
      </x:c>
      <x:c r="R91" s="63" t="str">
        <x:v>Spicy Starter, Hearty Starter, Sweet Starter, Fresh Starter, Funky Starter</x:v>
      </x:c>
      <x:c r="S91" s="60" t="n">
        <x:v>10</x:v>
      </x:c>
      <x:c r="T91" s="58" t="str">
        <x:v>data/cards.json</x:v>
      </x:c>
    </x:row>
    <x:row r="92" ht="30" customHeight="1">
      <x:c r="A92" s="60" t="n">
        <x:v>88</x:v>
      </x:c>
      <x:c r="B92" s="58" t="str">
        <x:v>chef_mary</x:v>
      </x:c>
      <x:c r="C92" s="58" t="str">
        <x:v>Chef Mary</x:v>
      </x:c>
      <x:c r="D92" s="58" t="str"/>
      <x:c r="E92" s="58" t="str">
        <x:v>Chef</x:v>
      </x:c>
      <x:c r="F92" s="58" t="str">
        <x:v>Neutral</x:v>
      </x:c>
      <x:c r="G92" s="61" t="str">
        <x:v>No</x:v>
      </x:c>
      <x:c r="H92" s="61" t="str">
        <x:f>IF(E92="Chef","Mythic",IF(G92="Yes","Rare",IF(OR(E92="Meal",E92="Spice",E92="Environment"),"Uncommon","Common")))</x:f>
        <x:v>Mythic</x:v>
      </x:c>
      <x:c r="I92" s="60"/>
      <x:c r="J92" s="60"/>
      <x:c r="K92" s="58" t="str"/>
      <x:c r="L92" s="60" t="n">
        <x:v>0</x:v>
      </x:c>
      <x:c r="M92" s="60" t="n">
        <x:v>0</x:v>
      </x:c>
      <x:c r="N92" s="60" t="n">
        <x:f>IF(E92="Meal",L92,M92)</x:f>
        <x:v>0</x:v>
      </x:c>
      <x:c r="O92" s="58" t="str"/>
      <x:c r="P92" s="63" t="str">
        <x:v>Draw 3 cards.</x:v>
      </x:c>
      <x:c r="Q92" s="63" t="str">
        <x:v>effects</x:v>
      </x:c>
      <x:c r="R92" s="63" t="str">
        <x:v>Spicy Starter, Hearty Starter, Sweet Starter, Fresh Starter, Funky Starter</x:v>
      </x:c>
      <x:c r="S92" s="60" t="n">
        <x:v>13</x:v>
      </x:c>
      <x:c r="T92" s="58" t="str">
        <x:v>data/cards.json</x:v>
      </x:c>
    </x:row>
  </x:sheetData>
  <x:mergeCells>
    <x:mergeCell ref="A1:T1"/>
    <x:mergeCell ref="A2:T2"/>
  </x:mergeCells>
  <x:conditionalFormatting sqref="F5:F92">
    <x:cfRule type="containsText" dxfId="0" priority="1" operator="containsText" text="Spicy"/>
    <x:cfRule type="containsText" dxfId="1" priority="2" operator="containsText" text="Hearty"/>
    <x:cfRule type="containsText" dxfId="2" priority="3" operator="containsText" text="Sweet"/>
    <x:cfRule type="containsText" dxfId="3" priority="4" operator="containsText" text="Fresh"/>
    <x:cfRule type="containsText" dxfId="4" priority="5" operator="containsText" text="Funky"/>
  </x:conditionalFormatting>
  <x:conditionalFormatting sqref="H5:H92">
    <x:cfRule type="containsText" dxfId="5" priority="6" operator="containsText" text="Rare"/>
    <x:cfRule type="containsText" dxfId="6" priority="7" operator="containsText" text="Mythic"/>
  </x:conditionalFormatting>
  <x:pageMargins left="0.7" right="0.7" top="0.75" bottom="0.75" header="0.3" footer="0.3"/>
  <x:tableParts count="1">
    <x:tablePart xmlns:r="http://schemas.openxmlformats.org/officeDocument/2006/relationships" r:id="Racc0088e955d468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20" hidden="0" customWidth="1"/>
    <x:col min="3" max="3" width="13" hidden="0" customWidth="1"/>
    <x:col min="4" max="4" width="31" hidden="0" customWidth="1"/>
    <x:col min="5" max="5" width="27" hidden="0" customWidth="1"/>
    <x:col min="6" max="6" width="13" hidden="0" customWidth="1"/>
    <x:col min="7" max="7" width="9" hidden="0" customWidth="1"/>
  </x:cols>
  <x:sheetData>
    <x:row r="1" ht="32" customHeight="1">
      <x:c r="A1" s="54" t="str">
        <x:v>Starter Deck Coverage</x:v>
      </x:c>
      <x:c r="B1" s="54"/>
      <x:c r="C1" s="54"/>
      <x:c r="D1" s="54"/>
      <x:c r="E1" s="54"/>
      <x:c r="F1" s="54"/>
      <x:c r="G1" s="54"/>
    </x:row>
    <x:row r="2">
      <x:c r="A2" s="5" t="str">
        <x:v>One row per card entry in each implemented 30-card starter deck.</x:v>
      </x:c>
      <x:c r="B2" s="5"/>
      <x:c r="C2" s="5"/>
      <x:c r="D2" s="5"/>
      <x:c r="E2" s="5"/>
      <x:c r="F2" s="5"/>
      <x:c r="G2" s="5"/>
    </x:row>
    <x:row r="4">
      <x:c r="A4" s="55" t="str">
        <x:v>Deck ID</x:v>
      </x:c>
      <x:c r="B4" s="55" t="str">
        <x:v>Deck Name</x:v>
      </x:c>
      <x:c r="C4" s="55" t="str">
        <x:v>Archetype</x:v>
      </x:c>
      <x:c r="D4" s="55" t="str">
        <x:v>Card ID</x:v>
      </x:c>
      <x:c r="E4" s="55" t="str">
        <x:v>Card Name</x:v>
      </x:c>
      <x:c r="F4" s="55" t="str">
        <x:v>Card Type</x:v>
      </x:c>
      <x:c r="G4" s="55" t="str">
        <x:v>Count</x:v>
      </x:c>
    </x:row>
    <x:row r="5">
      <x:c r="A5" s="58" t="str">
        <x:v>spicy_test_kitchen</x:v>
      </x:c>
      <x:c r="B5" s="58" t="str">
        <x:v>Spicy Starter</x:v>
      </x:c>
      <x:c r="C5" s="58" t="str">
        <x:v>Spicy</x:v>
      </x:c>
      <x:c r="D5" s="58" t="str">
        <x:v>spicy_sriracharrow</x:v>
      </x:c>
      <x:c r="E5" s="58" t="str">
        <x:v>Sriracharrow</x:v>
      </x:c>
      <x:c r="F5" s="58" t="str">
        <x:v>Meal</x:v>
      </x:c>
      <x:c r="G5" s="60" t="n">
        <x:v>2</x:v>
      </x:c>
    </x:row>
    <x:row r="6">
      <x:c r="A6" s="58" t="str">
        <x:v>spicy_test_kitchen</x:v>
      </x:c>
      <x:c r="B6" s="58" t="str">
        <x:v>Spicy Starter</x:v>
      </x:c>
      <x:c r="C6" s="58" t="str">
        <x:v>Spicy</x:v>
      </x:c>
      <x:c r="D6" s="58" t="str">
        <x:v>spicy_firecracker_shrimp</x:v>
      </x:c>
      <x:c r="E6" s="58" t="str">
        <x:v>Firecracker Shrimp</x:v>
      </x:c>
      <x:c r="F6" s="58" t="str">
        <x:v>Meal</x:v>
      </x:c>
      <x:c r="G6" s="60" t="n">
        <x:v>2</x:v>
      </x:c>
    </x:row>
    <x:row r="7">
      <x:c r="A7" s="58" t="str">
        <x:v>spicy_test_kitchen</x:v>
      </x:c>
      <x:c r="B7" s="58" t="str">
        <x:v>Spicy Starter</x:v>
      </x:c>
      <x:c r="C7" s="58" t="str">
        <x:v>Spicy</x:v>
      </x:c>
      <x:c r="D7" s="58" t="str">
        <x:v>spicy_buffalo_wings</x:v>
      </x:c>
      <x:c r="E7" s="58" t="str">
        <x:v>Buffalo Wings</x:v>
      </x:c>
      <x:c r="F7" s="58" t="str">
        <x:v>Meal</x:v>
      </x:c>
      <x:c r="G7" s="60" t="n">
        <x:v>1</x:v>
      </x:c>
    </x:row>
    <x:row r="8">
      <x:c r="A8" s="58" t="str">
        <x:v>spicy_test_kitchen</x:v>
      </x:c>
      <x:c r="B8" s="58" t="str">
        <x:v>Spicy Starter</x:v>
      </x:c>
      <x:c r="C8" s="58" t="str">
        <x:v>Spicy</x:v>
      </x:c>
      <x:c r="D8" s="58" t="str">
        <x:v>spicy_hot_honey_bee</x:v>
      </x:c>
      <x:c r="E8" s="58" t="str">
        <x:v>Hot Honey Bee</x:v>
      </x:c>
      <x:c r="F8" s="58" t="str">
        <x:v>Ingredient</x:v>
      </x:c>
      <x:c r="G8" s="60" t="n">
        <x:v>3</x:v>
      </x:c>
    </x:row>
    <x:row r="9">
      <x:c r="A9" s="58" t="str">
        <x:v>spicy_test_kitchen</x:v>
      </x:c>
      <x:c r="B9" s="58" t="str">
        <x:v>Spicy Starter</x:v>
      </x:c>
      <x:c r="C9" s="58" t="str">
        <x:v>Spicy</x:v>
      </x:c>
      <x:c r="D9" s="58" t="str">
        <x:v>spicy_jalapeno_panther</x:v>
      </x:c>
      <x:c r="E9" s="58" t="str">
        <x:v>Jalapeño Panther</x:v>
      </x:c>
      <x:c r="F9" s="58" t="str">
        <x:v>Ingredient</x:v>
      </x:c>
      <x:c r="G9" s="60" t="n">
        <x:v>2</x:v>
      </x:c>
    </x:row>
    <x:row r="10">
      <x:c r="A10" s="58" t="str">
        <x:v>spicy_test_kitchen</x:v>
      </x:c>
      <x:c r="B10" s="58" t="str">
        <x:v>Spicy Starter</x:v>
      </x:c>
      <x:c r="C10" s="58" t="str">
        <x:v>Spicy</x:v>
      </x:c>
      <x:c r="D10" s="58" t="str">
        <x:v>spicy_red_pepper_panda</x:v>
      </x:c>
      <x:c r="E10" s="58" t="str">
        <x:v>Red Pepper Panda</x:v>
      </x:c>
      <x:c r="F10" s="58" t="str">
        <x:v>Ingredient</x:v>
      </x:c>
      <x:c r="G10" s="60" t="n">
        <x:v>3</x:v>
      </x:c>
    </x:row>
    <x:row r="11">
      <x:c r="A11" s="58" t="str">
        <x:v>spicy_test_kitchen</x:v>
      </x:c>
      <x:c r="B11" s="58" t="str">
        <x:v>Spicy Starter</x:v>
      </x:c>
      <x:c r="C11" s="58" t="str">
        <x:v>Spicy</x:v>
      </x:c>
      <x:c r="D11" s="58" t="str">
        <x:v>spicy_wasabi_wasp</x:v>
      </x:c>
      <x:c r="E11" s="58" t="str">
        <x:v>Wastabi</x:v>
      </x:c>
      <x:c r="F11" s="58" t="str">
        <x:v>Ingredient</x:v>
      </x:c>
      <x:c r="G11" s="60" t="n">
        <x:v>2</x:v>
      </x:c>
    </x:row>
    <x:row r="12">
      <x:c r="A12" s="58" t="str">
        <x:v>spicy_test_kitchen</x:v>
      </x:c>
      <x:c r="B12" s="58" t="str">
        <x:v>Spicy Starter</x:v>
      </x:c>
      <x:c r="C12" s="58" t="str">
        <x:v>Spicy</x:v>
      </x:c>
      <x:c r="D12" s="58" t="str">
        <x:v>spicy_jalapeno_jackal</x:v>
      </x:c>
      <x:c r="E12" s="58" t="str">
        <x:v>Jakapeno</x:v>
      </x:c>
      <x:c r="F12" s="58" t="str">
        <x:v>Ingredient</x:v>
      </x:c>
      <x:c r="G12" s="60" t="n">
        <x:v>1</x:v>
      </x:c>
    </x:row>
    <x:row r="13">
      <x:c r="A13" s="58" t="str">
        <x:v>spicy_test_kitchen</x:v>
      </x:c>
      <x:c r="B13" s="58" t="str">
        <x:v>Spicy Starter</x:v>
      </x:c>
      <x:c r="C13" s="58" t="str">
        <x:v>Spicy</x:v>
      </x:c>
      <x:c r="D13" s="58" t="str">
        <x:v>item_spicy_shopping_list</x:v>
      </x:c>
      <x:c r="E13" s="58" t="str">
        <x:v>Spicy Shopping List</x:v>
      </x:c>
      <x:c r="F13" s="58" t="str">
        <x:v>Tool</x:v>
      </x:c>
      <x:c r="G13" s="60" t="n">
        <x:v>1</x:v>
      </x:c>
    </x:row>
    <x:row r="14">
      <x:c r="A14" s="58" t="str">
        <x:v>spicy_test_kitchen</x:v>
      </x:c>
      <x:c r="B14" s="58" t="str">
        <x:v>Spicy Starter</x:v>
      </x:c>
      <x:c r="C14" s="58" t="str">
        <x:v>Spicy</x:v>
      </x:c>
      <x:c r="D14" s="58" t="str">
        <x:v>item_recipe_prep</x:v>
      </x:c>
      <x:c r="E14" s="58" t="str">
        <x:v>Recipe Prep</x:v>
      </x:c>
      <x:c r="F14" s="58" t="str">
        <x:v>Tool</x:v>
      </x:c>
      <x:c r="G14" s="60" t="n">
        <x:v>3</x:v>
      </x:c>
    </x:row>
    <x:row r="15">
      <x:c r="A15" s="58" t="str">
        <x:v>spicy_test_kitchen</x:v>
      </x:c>
      <x:c r="B15" s="58" t="str">
        <x:v>Spicy Starter</x:v>
      </x:c>
      <x:c r="C15" s="58" t="str">
        <x:v>Spicy</x:v>
      </x:c>
      <x:c r="D15" s="58" t="str">
        <x:v>item_tool_drawer</x:v>
      </x:c>
      <x:c r="E15" s="58" t="str">
        <x:v>Tool Drawer</x:v>
      </x:c>
      <x:c r="F15" s="58" t="str">
        <x:v>Tool</x:v>
      </x:c>
      <x:c r="G15" s="60" t="n">
        <x:v>2</x:v>
      </x:c>
    </x:row>
    <x:row r="16">
      <x:c r="A16" s="58" t="str">
        <x:v>spicy_test_kitchen</x:v>
      </x:c>
      <x:c r="B16" s="58" t="str">
        <x:v>Spicy Starter</x:v>
      </x:c>
      <x:c r="C16" s="58" t="str">
        <x:v>Spicy</x:v>
      </x:c>
      <x:c r="D16" s="58" t="str">
        <x:v>item_wooden_spoon</x:v>
      </x:c>
      <x:c r="E16" s="58" t="str">
        <x:v>Wooden Spoon</x:v>
      </x:c>
      <x:c r="F16" s="58" t="str">
        <x:v>Tool</x:v>
      </x:c>
      <x:c r="G16" s="60" t="n">
        <x:v>3</x:v>
      </x:c>
    </x:row>
    <x:row r="17">
      <x:c r="A17" s="58" t="str">
        <x:v>spicy_test_kitchen</x:v>
      </x:c>
      <x:c r="B17" s="58" t="str">
        <x:v>Spicy Starter</x:v>
      </x:c>
      <x:c r="C17" s="58" t="str">
        <x:v>Spicy</x:v>
      </x:c>
      <x:c r="D17" s="58" t="str">
        <x:v>chef_carl</x:v>
      </x:c>
      <x:c r="E17" s="58" t="str">
        <x:v>Chef Carl</x:v>
      </x:c>
      <x:c r="F17" s="58" t="str">
        <x:v>Chef</x:v>
      </x:c>
      <x:c r="G17" s="60" t="n">
        <x:v>2</x:v>
      </x:c>
    </x:row>
    <x:row r="18">
      <x:c r="A18" s="58" t="str">
        <x:v>spicy_test_kitchen</x:v>
      </x:c>
      <x:c r="B18" s="58" t="str">
        <x:v>Spicy Starter</x:v>
      </x:c>
      <x:c r="C18" s="58" t="str">
        <x:v>Spicy</x:v>
      </x:c>
      <x:c r="D18" s="58" t="str">
        <x:v>chef_mary</x:v>
      </x:c>
      <x:c r="E18" s="58" t="str">
        <x:v>Chef Mary</x:v>
      </x:c>
      <x:c r="F18" s="58" t="str">
        <x:v>Chef</x:v>
      </x:c>
      <x:c r="G18" s="60" t="n">
        <x:v>3</x:v>
      </x:c>
    </x:row>
    <x:row r="19">
      <x:c r="A19" s="58" t="str">
        <x:v>hearty_test_kitchen</x:v>
      </x:c>
      <x:c r="B19" s="58" t="str">
        <x:v>Hearty Starter</x:v>
      </x:c>
      <x:c r="C19" s="58" t="str">
        <x:v>Hearty</x:v>
      </x:c>
      <x:c r="D19" s="58" t="str">
        <x:v>hearty_dumpling_tortoise</x:v>
      </x:c>
      <x:c r="E19" s="58" t="str">
        <x:v>Dumpling-Backed Tortoise</x:v>
      </x:c>
      <x:c r="F19" s="58" t="str">
        <x:v>Meal</x:v>
      </x:c>
      <x:c r="G19" s="60" t="n">
        <x:v>2</x:v>
      </x:c>
    </x:row>
    <x:row r="20">
      <x:c r="A20" s="58" t="str">
        <x:v>hearty_test_kitchen</x:v>
      </x:c>
      <x:c r="B20" s="58" t="str">
        <x:v>Hearty Starter</x:v>
      </x:c>
      <x:c r="C20" s="58" t="str">
        <x:v>Hearty</x:v>
      </x:c>
      <x:c r="D20" s="58" t="str">
        <x:v>hearty_stewoose</x:v>
      </x:c>
      <x:c r="E20" s="58" t="str">
        <x:v>Stewoose</x:v>
      </x:c>
      <x:c r="F20" s="58" t="str">
        <x:v>Meal</x:v>
      </x:c>
      <x:c r="G20" s="60" t="n">
        <x:v>2</x:v>
      </x:c>
    </x:row>
    <x:row r="21">
      <x:c r="A21" s="58" t="str">
        <x:v>hearty_test_kitchen</x:v>
      </x:c>
      <x:c r="B21" s="58" t="str">
        <x:v>Hearty Starter</x:v>
      </x:c>
      <x:c r="C21" s="58" t="str">
        <x:v>Hearty</x:v>
      </x:c>
      <x:c r="D21" s="58" t="str">
        <x:v>hearty_polar_pot_pie_bear</x:v>
      </x:c>
      <x:c r="E21" s="58" t="str">
        <x:v>Polar Pot Pie Bear</x:v>
      </x:c>
      <x:c r="F21" s="58" t="str">
        <x:v>Meal</x:v>
      </x:c>
      <x:c r="G21" s="60" t="n">
        <x:v>1</x:v>
      </x:c>
    </x:row>
    <x:row r="22">
      <x:c r="A22" s="58" t="str">
        <x:v>hearty_test_kitchen</x:v>
      </x:c>
      <x:c r="B22" s="58" t="str">
        <x:v>Hearty Starter</x:v>
      </x:c>
      <x:c r="C22" s="58" t="str">
        <x:v>Hearty</x:v>
      </x:c>
      <x:c r="D22" s="58" t="str">
        <x:v>hearty_bagver</x:v>
      </x:c>
      <x:c r="E22" s="58" t="str">
        <x:v>Bagver</x:v>
      </x:c>
      <x:c r="F22" s="58" t="str">
        <x:v>Ingredient</x:v>
      </x:c>
      <x:c r="G22" s="60" t="n">
        <x:v>3</x:v>
      </x:c>
    </x:row>
    <x:row r="23">
      <x:c r="A23" s="58" t="str">
        <x:v>hearty_test_kitchen</x:v>
      </x:c>
      <x:c r="B23" s="58" t="str">
        <x:v>Hearty Starter</x:v>
      </x:c>
      <x:c r="C23" s="58" t="str">
        <x:v>Hearty</x:v>
      </x:c>
      <x:c r="D23" s="58" t="str">
        <x:v>hearty_french_bread_dog</x:v>
      </x:c>
      <x:c r="E23" s="58" t="str">
        <x:v>French Bread Dog</x:v>
      </x:c>
      <x:c r="F23" s="58" t="str">
        <x:v>Ingredient</x:v>
      </x:c>
      <x:c r="G23" s="60" t="n">
        <x:v>3</x:v>
      </x:c>
    </x:row>
    <x:row r="24">
      <x:c r="A24" s="58" t="str">
        <x:v>hearty_test_kitchen</x:v>
      </x:c>
      <x:c r="B24" s="58" t="str">
        <x:v>Hearty Starter</x:v>
      </x:c>
      <x:c r="C24" s="58" t="str">
        <x:v>Hearty</x:v>
      </x:c>
      <x:c r="D24" s="58" t="str">
        <x:v>hearty_macaroni_manatee</x:v>
      </x:c>
      <x:c r="E24" s="58" t="str">
        <x:v>Macaronatee</x:v>
      </x:c>
      <x:c r="F24" s="58" t="str">
        <x:v>Ingredient</x:v>
      </x:c>
      <x:c r="G24" s="60" t="n">
        <x:v>3</x:v>
      </x:c>
    </x:row>
    <x:row r="25">
      <x:c r="A25" s="58" t="str">
        <x:v>hearty_test_kitchen</x:v>
      </x:c>
      <x:c r="B25" s="58" t="str">
        <x:v>Hearty Starter</x:v>
      </x:c>
      <x:c r="C25" s="58" t="str">
        <x:v>Hearty</x:v>
      </x:c>
      <x:c r="D25" s="58" t="str">
        <x:v>hearty_ramen_ram</x:v>
      </x:c>
      <x:c r="E25" s="58" t="str">
        <x:v>Ramen</x:v>
      </x:c>
      <x:c r="F25" s="58" t="str">
        <x:v>Ingredient</x:v>
      </x:c>
      <x:c r="G25" s="60" t="n">
        <x:v>1</x:v>
      </x:c>
    </x:row>
    <x:row r="26">
      <x:c r="A26" s="58" t="str">
        <x:v>hearty_test_kitchen</x:v>
      </x:c>
      <x:c r="B26" s="58" t="str">
        <x:v>Hearty Starter</x:v>
      </x:c>
      <x:c r="C26" s="58" t="str">
        <x:v>Hearty</x:v>
      </x:c>
      <x:c r="D26" s="58" t="str">
        <x:v>hearty_baked_potato_pangolin</x:v>
      </x:c>
      <x:c r="E26" s="58" t="str">
        <x:v>Baked Potangolin</x:v>
      </x:c>
      <x:c r="F26" s="58" t="str">
        <x:v>Ingredient</x:v>
      </x:c>
      <x:c r="G26" s="60" t="n">
        <x:v>1</x:v>
      </x:c>
    </x:row>
    <x:row r="27">
      <x:c r="A27" s="58" t="str">
        <x:v>hearty_test_kitchen</x:v>
      </x:c>
      <x:c r="B27" s="58" t="str">
        <x:v>Hearty Starter</x:v>
      </x:c>
      <x:c r="C27" s="58" t="str">
        <x:v>Hearty</x:v>
      </x:c>
      <x:c r="D27" s="58" t="str">
        <x:v>item_hearty_shopping_list</x:v>
      </x:c>
      <x:c r="E27" s="58" t="str">
        <x:v>Hearty Shopping List</x:v>
      </x:c>
      <x:c r="F27" s="58" t="str">
        <x:v>Tool</x:v>
      </x:c>
      <x:c r="G27" s="60" t="n">
        <x:v>1</x:v>
      </x:c>
    </x:row>
    <x:row r="28">
      <x:c r="A28" s="58" t="str">
        <x:v>hearty_test_kitchen</x:v>
      </x:c>
      <x:c r="B28" s="58" t="str">
        <x:v>Hearty Starter</x:v>
      </x:c>
      <x:c r="C28" s="58" t="str">
        <x:v>Hearty</x:v>
      </x:c>
      <x:c r="D28" s="58" t="str">
        <x:v>item_recipe_prep</x:v>
      </x:c>
      <x:c r="E28" s="58" t="str">
        <x:v>Recipe Prep</x:v>
      </x:c>
      <x:c r="F28" s="58" t="str">
        <x:v>Tool</x:v>
      </x:c>
      <x:c r="G28" s="60" t="n">
        <x:v>3</x:v>
      </x:c>
    </x:row>
    <x:row r="29">
      <x:c r="A29" s="58" t="str">
        <x:v>hearty_test_kitchen</x:v>
      </x:c>
      <x:c r="B29" s="58" t="str">
        <x:v>Hearty Starter</x:v>
      </x:c>
      <x:c r="C29" s="58" t="str">
        <x:v>Hearty</x:v>
      </x:c>
      <x:c r="D29" s="58" t="str">
        <x:v>item_tool_drawer</x:v>
      </x:c>
      <x:c r="E29" s="58" t="str">
        <x:v>Tool Drawer</x:v>
      </x:c>
      <x:c r="F29" s="58" t="str">
        <x:v>Tool</x:v>
      </x:c>
      <x:c r="G29" s="60" t="n">
        <x:v>2</x:v>
      </x:c>
    </x:row>
    <x:row r="30">
      <x:c r="A30" s="58" t="str">
        <x:v>hearty_test_kitchen</x:v>
      </x:c>
      <x:c r="B30" s="58" t="str">
        <x:v>Hearty Starter</x:v>
      </x:c>
      <x:c r="C30" s="58" t="str">
        <x:v>Hearty</x:v>
      </x:c>
      <x:c r="D30" s="58" t="str">
        <x:v>item_wooden_spoon</x:v>
      </x:c>
      <x:c r="E30" s="58" t="str">
        <x:v>Wooden Spoon</x:v>
      </x:c>
      <x:c r="F30" s="58" t="str">
        <x:v>Tool</x:v>
      </x:c>
      <x:c r="G30" s="60" t="n">
        <x:v>3</x:v>
      </x:c>
    </x:row>
    <x:row r="31">
      <x:c r="A31" s="58" t="str">
        <x:v>hearty_test_kitchen</x:v>
      </x:c>
      <x:c r="B31" s="58" t="str">
        <x:v>Hearty Starter</x:v>
      </x:c>
      <x:c r="C31" s="58" t="str">
        <x:v>Hearty</x:v>
      </x:c>
      <x:c r="D31" s="58" t="str">
        <x:v>chef_carl</x:v>
      </x:c>
      <x:c r="E31" s="58" t="str">
        <x:v>Chef Carl</x:v>
      </x:c>
      <x:c r="F31" s="58" t="str">
        <x:v>Chef</x:v>
      </x:c>
      <x:c r="G31" s="60" t="n">
        <x:v>2</x:v>
      </x:c>
    </x:row>
    <x:row r="32">
      <x:c r="A32" s="58" t="str">
        <x:v>hearty_test_kitchen</x:v>
      </x:c>
      <x:c r="B32" s="58" t="str">
        <x:v>Hearty Starter</x:v>
      </x:c>
      <x:c r="C32" s="58" t="str">
        <x:v>Hearty</x:v>
      </x:c>
      <x:c r="D32" s="58" t="str">
        <x:v>chef_mary</x:v>
      </x:c>
      <x:c r="E32" s="58" t="str">
        <x:v>Chef Mary</x:v>
      </x:c>
      <x:c r="F32" s="58" t="str">
        <x:v>Chef</x:v>
      </x:c>
      <x:c r="G32" s="60" t="n">
        <x:v>3</x:v>
      </x:c>
    </x:row>
    <x:row r="33">
      <x:c r="A33" s="58" t="str">
        <x:v>sweet_test_kitchen</x:v>
      </x:c>
      <x:c r="B33" s="58" t="str">
        <x:v>Sweet Starter</x:v>
      </x:c>
      <x:c r="C33" s="58" t="str">
        <x:v>Sweet</x:v>
      </x:c>
      <x:c r="D33" s="58" t="str">
        <x:v>sweet_pup_tart</x:v>
      </x:c>
      <x:c r="E33" s="58" t="str">
        <x:v>Pup Tart</x:v>
      </x:c>
      <x:c r="F33" s="58" t="str">
        <x:v>Meal</x:v>
      </x:c>
      <x:c r="G33" s="60" t="n">
        <x:v>1</x:v>
      </x:c>
    </x:row>
    <x:row r="34">
      <x:c r="A34" s="58" t="str">
        <x:v>sweet_test_kitchen</x:v>
      </x:c>
      <x:c r="B34" s="58" t="str">
        <x:v>Sweet Starter</x:v>
      </x:c>
      <x:c r="C34" s="58" t="str">
        <x:v>Sweet</x:v>
      </x:c>
      <x:c r="D34" s="58" t="str">
        <x:v>sweet_strawberry_sharkcake</x:v>
      </x:c>
      <x:c r="E34" s="58" t="str">
        <x:v>Strawberry Sharkcake</x:v>
      </x:c>
      <x:c r="F34" s="58" t="str">
        <x:v>Meal</x:v>
      </x:c>
      <x:c r="G34" s="60" t="n">
        <x:v>2</x:v>
      </x:c>
    </x:row>
    <x:row r="35">
      <x:c r="A35" s="58" t="str">
        <x:v>sweet_test_kitchen</x:v>
      </x:c>
      <x:c r="B35" s="58" t="str">
        <x:v>Sweet Starter</x:v>
      </x:c>
      <x:c r="C35" s="58" t="str">
        <x:v>Sweet</x:v>
      </x:c>
      <x:c r="D35" s="58" t="str">
        <x:v>sweet_cinnamon_snail</x:v>
      </x:c>
      <x:c r="E35" s="58" t="str">
        <x:v>Cinnamon Snail</x:v>
      </x:c>
      <x:c r="F35" s="58" t="str">
        <x:v>Meal</x:v>
      </x:c>
      <x:c r="G35" s="60" t="n">
        <x:v>2</x:v>
      </x:c>
    </x:row>
    <x:row r="36">
      <x:c r="A36" s="58" t="str">
        <x:v>sweet_test_kitchen</x:v>
      </x:c>
      <x:c r="B36" s="58" t="str">
        <x:v>Sweet Starter</x:v>
      </x:c>
      <x:c r="C36" s="58" t="str">
        <x:v>Sweet</x:v>
      </x:c>
      <x:c r="D36" s="58" t="str">
        <x:v>sweet_sugar_glider</x:v>
      </x:c>
      <x:c r="E36" s="58" t="str">
        <x:v>Sugar Glider</x:v>
      </x:c>
      <x:c r="F36" s="58" t="str">
        <x:v>Ingredient</x:v>
      </x:c>
      <x:c r="G36" s="60" t="n">
        <x:v>3</x:v>
      </x:c>
    </x:row>
    <x:row r="37">
      <x:c r="A37" s="58" t="str">
        <x:v>sweet_test_kitchen</x:v>
      </x:c>
      <x:c r="B37" s="58" t="str">
        <x:v>Sweet Starter</x:v>
      </x:c>
      <x:c r="C37" s="58" t="str">
        <x:v>Sweet</x:v>
      </x:c>
      <x:c r="D37" s="58" t="str">
        <x:v>sweet_marshmallow_swallow</x:v>
      </x:c>
      <x:c r="E37" s="58" t="str">
        <x:v>Marshmallow Swallows</x:v>
      </x:c>
      <x:c r="F37" s="58" t="str">
        <x:v>Ingredient</x:v>
      </x:c>
      <x:c r="G37" s="60" t="n">
        <x:v>3</x:v>
      </x:c>
    </x:row>
    <x:row r="38">
      <x:c r="A38" s="58" t="str">
        <x:v>sweet_test_kitchen</x:v>
      </x:c>
      <x:c r="B38" s="58" t="str">
        <x:v>Sweet Starter</x:v>
      </x:c>
      <x:c r="C38" s="58" t="str">
        <x:v>Sweet</x:v>
      </x:c>
      <x:c r="D38" s="58" t="str">
        <x:v>sweet_caramel_camel</x:v>
      </x:c>
      <x:c r="E38" s="58" t="str">
        <x:v>Caramel Camel</x:v>
      </x:c>
      <x:c r="F38" s="58" t="str">
        <x:v>Ingredient</x:v>
      </x:c>
      <x:c r="G38" s="60" t="n">
        <x:v>3</x:v>
      </x:c>
    </x:row>
    <x:row r="39">
      <x:c r="A39" s="58" t="str">
        <x:v>sweet_test_kitchen</x:v>
      </x:c>
      <x:c r="B39" s="58" t="str">
        <x:v>Sweet Starter</x:v>
      </x:c>
      <x:c r="C39" s="58" t="str">
        <x:v>Sweet</x:v>
      </x:c>
      <x:c r="D39" s="58" t="str">
        <x:v>sweet_toffee_collie</x:v>
      </x:c>
      <x:c r="E39" s="58" t="str">
        <x:v>Toffee Collie</x:v>
      </x:c>
      <x:c r="F39" s="58" t="str">
        <x:v>Ingredient</x:v>
      </x:c>
      <x:c r="G39" s="60" t="n">
        <x:v>1</x:v>
      </x:c>
    </x:row>
    <x:row r="40">
      <x:c r="A40" s="58" t="str">
        <x:v>sweet_test_kitchen</x:v>
      </x:c>
      <x:c r="B40" s="58" t="str">
        <x:v>Sweet Starter</x:v>
      </x:c>
      <x:c r="C40" s="58" t="str">
        <x:v>Sweet</x:v>
      </x:c>
      <x:c r="D40" s="58" t="str">
        <x:v>sweet_nutmeg_newt</x:v>
      </x:c>
      <x:c r="E40" s="58" t="str">
        <x:v>Nutmeg</x:v>
      </x:c>
      <x:c r="F40" s="58" t="str">
        <x:v>Ingredient</x:v>
      </x:c>
      <x:c r="G40" s="60" t="n">
        <x:v>1</x:v>
      </x:c>
    </x:row>
    <x:row r="41">
      <x:c r="A41" s="58" t="str">
        <x:v>sweet_test_kitchen</x:v>
      </x:c>
      <x:c r="B41" s="58" t="str">
        <x:v>Sweet Starter</x:v>
      </x:c>
      <x:c r="C41" s="58" t="str">
        <x:v>Sweet</x:v>
      </x:c>
      <x:c r="D41" s="58" t="str">
        <x:v>item_sweet_shopping_list</x:v>
      </x:c>
      <x:c r="E41" s="58" t="str">
        <x:v>Sweet Shopping List</x:v>
      </x:c>
      <x:c r="F41" s="58" t="str">
        <x:v>Tool</x:v>
      </x:c>
      <x:c r="G41" s="60" t="n">
        <x:v>1</x:v>
      </x:c>
    </x:row>
    <x:row r="42">
      <x:c r="A42" s="58" t="str">
        <x:v>sweet_test_kitchen</x:v>
      </x:c>
      <x:c r="B42" s="58" t="str">
        <x:v>Sweet Starter</x:v>
      </x:c>
      <x:c r="C42" s="58" t="str">
        <x:v>Sweet</x:v>
      </x:c>
      <x:c r="D42" s="58" t="str">
        <x:v>item_recipe_prep</x:v>
      </x:c>
      <x:c r="E42" s="58" t="str">
        <x:v>Recipe Prep</x:v>
      </x:c>
      <x:c r="F42" s="58" t="str">
        <x:v>Tool</x:v>
      </x:c>
      <x:c r="G42" s="60" t="n">
        <x:v>3</x:v>
      </x:c>
    </x:row>
    <x:row r="43">
      <x:c r="A43" s="58" t="str">
        <x:v>sweet_test_kitchen</x:v>
      </x:c>
      <x:c r="B43" s="58" t="str">
        <x:v>Sweet Starter</x:v>
      </x:c>
      <x:c r="C43" s="58" t="str">
        <x:v>Sweet</x:v>
      </x:c>
      <x:c r="D43" s="58" t="str">
        <x:v>item_tool_drawer</x:v>
      </x:c>
      <x:c r="E43" s="58" t="str">
        <x:v>Tool Drawer</x:v>
      </x:c>
      <x:c r="F43" s="58" t="str">
        <x:v>Tool</x:v>
      </x:c>
      <x:c r="G43" s="60" t="n">
        <x:v>2</x:v>
      </x:c>
    </x:row>
    <x:row r="44">
      <x:c r="A44" s="58" t="str">
        <x:v>sweet_test_kitchen</x:v>
      </x:c>
      <x:c r="B44" s="58" t="str">
        <x:v>Sweet Starter</x:v>
      </x:c>
      <x:c r="C44" s="58" t="str">
        <x:v>Sweet</x:v>
      </x:c>
      <x:c r="D44" s="58" t="str">
        <x:v>item_wooden_spoon</x:v>
      </x:c>
      <x:c r="E44" s="58" t="str">
        <x:v>Wooden Spoon</x:v>
      </x:c>
      <x:c r="F44" s="58" t="str">
        <x:v>Tool</x:v>
      </x:c>
      <x:c r="G44" s="60" t="n">
        <x:v>3</x:v>
      </x:c>
    </x:row>
    <x:row r="45">
      <x:c r="A45" s="58" t="str">
        <x:v>sweet_test_kitchen</x:v>
      </x:c>
      <x:c r="B45" s="58" t="str">
        <x:v>Sweet Starter</x:v>
      </x:c>
      <x:c r="C45" s="58" t="str">
        <x:v>Sweet</x:v>
      </x:c>
      <x:c r="D45" s="58" t="str">
        <x:v>chef_carl</x:v>
      </x:c>
      <x:c r="E45" s="58" t="str">
        <x:v>Chef Carl</x:v>
      </x:c>
      <x:c r="F45" s="58" t="str">
        <x:v>Chef</x:v>
      </x:c>
      <x:c r="G45" s="60" t="n">
        <x:v>2</x:v>
      </x:c>
    </x:row>
    <x:row r="46">
      <x:c r="A46" s="58" t="str">
        <x:v>sweet_test_kitchen</x:v>
      </x:c>
      <x:c r="B46" s="58" t="str">
        <x:v>Sweet Starter</x:v>
      </x:c>
      <x:c r="C46" s="58" t="str">
        <x:v>Sweet</x:v>
      </x:c>
      <x:c r="D46" s="58" t="str">
        <x:v>chef_mary</x:v>
      </x:c>
      <x:c r="E46" s="58" t="str">
        <x:v>Chef Mary</x:v>
      </x:c>
      <x:c r="F46" s="58" t="str">
        <x:v>Chef</x:v>
      </x:c>
      <x:c r="G46" s="60" t="n">
        <x:v>3</x:v>
      </x:c>
    </x:row>
    <x:row r="47">
      <x:c r="A47" s="58" t="str">
        <x:v>fresh_test_kitchen</x:v>
      </x:c>
      <x:c r="B47" s="58" t="str">
        <x:v>Fresh Starter</x:v>
      </x:c>
      <x:c r="C47" s="58" t="str">
        <x:v>Fresh</x:v>
      </x:c>
      <x:c r="D47" s="58" t="str">
        <x:v>fresh_harvest_hydra</x:v>
      </x:c>
      <x:c r="E47" s="58" t="str">
        <x:v>Harvest Hydra</x:v>
      </x:c>
      <x:c r="F47" s="58" t="str">
        <x:v>Meal</x:v>
      </x:c>
      <x:c r="G47" s="60" t="n">
        <x:v>1</x:v>
      </x:c>
    </x:row>
    <x:row r="48">
      <x:c r="A48" s="58" t="str">
        <x:v>fresh_test_kitchen</x:v>
      </x:c>
      <x:c r="B48" s="58" t="str">
        <x:v>Fresh Starter</x:v>
      </x:c>
      <x:c r="C48" s="58" t="str">
        <x:v>Fresh</x:v>
      </x:c>
      <x:c r="D48" s="58" t="str">
        <x:v>fresh_garden_gorilla</x:v>
      </x:c>
      <x:c r="E48" s="58" t="str">
        <x:v>Garden Gorilla</x:v>
      </x:c>
      <x:c r="F48" s="58" t="str">
        <x:v>Meal</x:v>
      </x:c>
      <x:c r="G48" s="60" t="n">
        <x:v>2</x:v>
      </x:c>
    </x:row>
    <x:row r="49">
      <x:c r="A49" s="58" t="str">
        <x:v>fresh_test_kitchen</x:v>
      </x:c>
      <x:c r="B49" s="58" t="str">
        <x:v>Fresh Starter</x:v>
      </x:c>
      <x:c r="C49" s="58" t="str">
        <x:v>Fresh</x:v>
      </x:c>
      <x:c r="D49" s="58" t="str">
        <x:v>fresh_saladmander</x:v>
      </x:c>
      <x:c r="E49" s="58" t="str">
        <x:v>Saladmander</x:v>
      </x:c>
      <x:c r="F49" s="58" t="str">
        <x:v>Meal</x:v>
      </x:c>
      <x:c r="G49" s="60" t="n">
        <x:v>2</x:v>
      </x:c>
    </x:row>
    <x:row r="50">
      <x:c r="A50" s="58" t="str">
        <x:v>fresh_test_kitchen</x:v>
      </x:c>
      <x:c r="B50" s="58" t="str">
        <x:v>Fresh Starter</x:v>
      </x:c>
      <x:c r="C50" s="58" t="str">
        <x:v>Fresh</x:v>
      </x:c>
      <x:c r="D50" s="58" t="str">
        <x:v>fresh_salad_shield_skunk</x:v>
      </x:c>
      <x:c r="E50" s="58" t="str">
        <x:v>Salad Shield Skunk</x:v>
      </x:c>
      <x:c r="F50" s="58" t="str">
        <x:v>Ingredient</x:v>
      </x:c>
      <x:c r="G50" s="60" t="n">
        <x:v>3</x:v>
      </x:c>
    </x:row>
    <x:row r="51">
      <x:c r="A51" s="58" t="str">
        <x:v>fresh_test_kitchen</x:v>
      </x:c>
      <x:c r="B51" s="58" t="str">
        <x:v>Fresh Starter</x:v>
      </x:c>
      <x:c r="C51" s="58" t="str">
        <x:v>Fresh</x:v>
      </x:c>
      <x:c r="D51" s="58" t="str">
        <x:v>fresh_comeback_corgi</x:v>
      </x:c>
      <x:c r="E51" s="58" t="str">
        <x:v>Comeback Cucumber Corgi</x:v>
      </x:c>
      <x:c r="F51" s="58" t="str">
        <x:v>Ingredient</x:v>
      </x:c>
      <x:c r="G51" s="60" t="n">
        <x:v>3</x:v>
      </x:c>
    </x:row>
    <x:row r="52">
      <x:c r="A52" s="58" t="str">
        <x:v>fresh_test_kitchen</x:v>
      </x:c>
      <x:c r="B52" s="58" t="str">
        <x:v>Fresh Starter</x:v>
      </x:c>
      <x:c r="C52" s="58" t="str">
        <x:v>Fresh</x:v>
      </x:c>
      <x:c r="D52" s="58" t="str">
        <x:v>fresh_crisp_capybara</x:v>
      </x:c>
      <x:c r="E52" s="58" t="str">
        <x:v>Crisp Capybara</x:v>
      </x:c>
      <x:c r="F52" s="58" t="str">
        <x:v>Ingredient</x:v>
      </x:c>
      <x:c r="G52" s="60" t="n">
        <x:v>3</x:v>
      </x:c>
    </x:row>
    <x:row r="53">
      <x:c r="A53" s="58" t="str">
        <x:v>fresh_test_kitchen</x:v>
      </x:c>
      <x:c r="B53" s="58" t="str">
        <x:v>Fresh Starter</x:v>
      </x:c>
      <x:c r="C53" s="58" t="str">
        <x:v>Fresh</x:v>
      </x:c>
      <x:c r="D53" s="58" t="str">
        <x:v>fresh_sprout_squirrel</x:v>
      </x:c>
      <x:c r="E53" s="58" t="str">
        <x:v>Sprout Squirrel</x:v>
      </x:c>
      <x:c r="F53" s="58" t="str">
        <x:v>Ingredient</x:v>
      </x:c>
      <x:c r="G53" s="60" t="n">
        <x:v>3</x:v>
      </x:c>
    </x:row>
    <x:row r="54">
      <x:c r="A54" s="58" t="str">
        <x:v>fresh_test_kitchen</x:v>
      </x:c>
      <x:c r="B54" s="58" t="str">
        <x:v>Fresh Starter</x:v>
      </x:c>
      <x:c r="C54" s="58" t="str">
        <x:v>Fresh</x:v>
      </x:c>
      <x:c r="D54" s="58" t="str">
        <x:v>item_fresh_shopping_list</x:v>
      </x:c>
      <x:c r="E54" s="58" t="str">
        <x:v>Fresh Shopping List</x:v>
      </x:c>
      <x:c r="F54" s="58" t="str">
        <x:v>Tool</x:v>
      </x:c>
      <x:c r="G54" s="60" t="n">
        <x:v>1</x:v>
      </x:c>
    </x:row>
    <x:row r="55">
      <x:c r="A55" s="58" t="str">
        <x:v>fresh_test_kitchen</x:v>
      </x:c>
      <x:c r="B55" s="58" t="str">
        <x:v>Fresh Starter</x:v>
      </x:c>
      <x:c r="C55" s="58" t="str">
        <x:v>Fresh</x:v>
      </x:c>
      <x:c r="D55" s="58" t="str">
        <x:v>item_recipe_prep</x:v>
      </x:c>
      <x:c r="E55" s="58" t="str">
        <x:v>Recipe Prep</x:v>
      </x:c>
      <x:c r="F55" s="58" t="str">
        <x:v>Tool</x:v>
      </x:c>
      <x:c r="G55" s="60" t="n">
        <x:v>2</x:v>
      </x:c>
    </x:row>
    <x:row r="56">
      <x:c r="A56" s="58" t="str">
        <x:v>fresh_test_kitchen</x:v>
      </x:c>
      <x:c r="B56" s="58" t="str">
        <x:v>Fresh Starter</x:v>
      </x:c>
      <x:c r="C56" s="58" t="str">
        <x:v>Fresh</x:v>
      </x:c>
      <x:c r="D56" s="58" t="str">
        <x:v>item_tool_drawer</x:v>
      </x:c>
      <x:c r="E56" s="58" t="str">
        <x:v>Tool Drawer</x:v>
      </x:c>
      <x:c r="F56" s="58" t="str">
        <x:v>Tool</x:v>
      </x:c>
      <x:c r="G56" s="60" t="n">
        <x:v>1</x:v>
      </x:c>
    </x:row>
    <x:row r="57">
      <x:c r="A57" s="58" t="str">
        <x:v>fresh_test_kitchen</x:v>
      </x:c>
      <x:c r="B57" s="58" t="str">
        <x:v>Fresh Starter</x:v>
      </x:c>
      <x:c r="C57" s="58" t="str">
        <x:v>Fresh</x:v>
      </x:c>
      <x:c r="D57" s="58" t="str">
        <x:v>item_wooden_spoon</x:v>
      </x:c>
      <x:c r="E57" s="58" t="str">
        <x:v>Wooden Spoon</x:v>
      </x:c>
      <x:c r="F57" s="58" t="str">
        <x:v>Tool</x:v>
      </x:c>
      <x:c r="G57" s="60" t="n">
        <x:v>3</x:v>
      </x:c>
    </x:row>
    <x:row r="58">
      <x:c r="A58" s="58" t="str">
        <x:v>fresh_test_kitchen</x:v>
      </x:c>
      <x:c r="B58" s="58" t="str">
        <x:v>Fresh Starter</x:v>
      </x:c>
      <x:c r="C58" s="58" t="str">
        <x:v>Fresh</x:v>
      </x:c>
      <x:c r="D58" s="58" t="str">
        <x:v>item_strainer</x:v>
      </x:c>
      <x:c r="E58" s="58" t="str">
        <x:v>Strainer</x:v>
      </x:c>
      <x:c r="F58" s="58" t="str">
        <x:v>Tool</x:v>
      </x:c>
      <x:c r="G58" s="60" t="n">
        <x:v>2</x:v>
      </x:c>
    </x:row>
    <x:row r="59">
      <x:c r="A59" s="58" t="str">
        <x:v>fresh_test_kitchen</x:v>
      </x:c>
      <x:c r="B59" s="58" t="str">
        <x:v>Fresh Starter</x:v>
      </x:c>
      <x:c r="C59" s="58" t="str">
        <x:v>Fresh</x:v>
      </x:c>
      <x:c r="D59" s="58" t="str">
        <x:v>chef_carl</x:v>
      </x:c>
      <x:c r="E59" s="58" t="str">
        <x:v>Chef Carl</x:v>
      </x:c>
      <x:c r="F59" s="58" t="str">
        <x:v>Chef</x:v>
      </x:c>
      <x:c r="G59" s="60" t="n">
        <x:v>2</x:v>
      </x:c>
    </x:row>
    <x:row r="60">
      <x:c r="A60" s="58" t="str">
        <x:v>fresh_test_kitchen</x:v>
      </x:c>
      <x:c r="B60" s="58" t="str">
        <x:v>Fresh Starter</x:v>
      </x:c>
      <x:c r="C60" s="58" t="str">
        <x:v>Fresh</x:v>
      </x:c>
      <x:c r="D60" s="58" t="str">
        <x:v>chef_mary</x:v>
      </x:c>
      <x:c r="E60" s="58" t="str">
        <x:v>Chef Mary</x:v>
      </x:c>
      <x:c r="F60" s="58" t="str">
        <x:v>Chef</x:v>
      </x:c>
      <x:c r="G60" s="60" t="n">
        <x:v>2</x:v>
      </x:c>
    </x:row>
    <x:row r="61">
      <x:c r="A61" s="58" t="str">
        <x:v>funky_test_kitchen</x:v>
      </x:c>
      <x:c r="B61" s="58" t="str">
        <x:v>Funky Starter</x:v>
      </x:c>
      <x:c r="C61" s="58" t="str">
        <x:v>Funky</x:v>
      </x:c>
      <x:c r="D61" s="58" t="str">
        <x:v>funky_remix_raccoon</x:v>
      </x:c>
      <x:c r="E61" s="58" t="str">
        <x:v>Remix Raccoon</x:v>
      </x:c>
      <x:c r="F61" s="58" t="str">
        <x:v>Meal</x:v>
      </x:c>
      <x:c r="G61" s="60" t="n">
        <x:v>2</x:v>
      </x:c>
    </x:row>
    <x:row r="62">
      <x:c r="A62" s="58" t="str">
        <x:v>funky_test_kitchen</x:v>
      </x:c>
      <x:c r="B62" s="58" t="str">
        <x:v>Funky Starter</x:v>
      </x:c>
      <x:c r="C62" s="58" t="str">
        <x:v>Funky</x:v>
      </x:c>
      <x:c r="D62" s="58" t="str">
        <x:v>funky_trap_jam_tapir</x:v>
      </x:c>
      <x:c r="E62" s="58" t="str">
        <x:v>Trap Jam Tapir</x:v>
      </x:c>
      <x:c r="F62" s="58" t="str">
        <x:v>Meal</x:v>
      </x:c>
      <x:c r="G62" s="60" t="n">
        <x:v>2</x:v>
      </x:c>
    </x:row>
    <x:row r="63">
      <x:c r="A63" s="58" t="str">
        <x:v>funky_test_kitchen</x:v>
      </x:c>
      <x:c r="B63" s="58" t="str">
        <x:v>Funky Starter</x:v>
      </x:c>
      <x:c r="C63" s="58" t="str">
        <x:v>Funky</x:v>
      </x:c>
      <x:c r="D63" s="58" t="str">
        <x:v>funky_leftover_lynx</x:v>
      </x:c>
      <x:c r="E63" s="58" t="str">
        <x:v>Leftover Lynx</x:v>
      </x:c>
      <x:c r="F63" s="58" t="str">
        <x:v>Meal</x:v>
      </x:c>
      <x:c r="G63" s="60" t="n">
        <x:v>2</x:v>
      </x:c>
    </x:row>
    <x:row r="64">
      <x:c r="A64" s="58" t="str">
        <x:v>funky_test_kitchen</x:v>
      </x:c>
      <x:c r="B64" s="58" t="str">
        <x:v>Funky Starter</x:v>
      </x:c>
      <x:c r="C64" s="58" t="str">
        <x:v>Funky</x:v>
      </x:c>
      <x:c r="D64" s="58" t="str">
        <x:v>funky_beat_beetle</x:v>
      </x:c>
      <x:c r="E64" s="58" t="str">
        <x:v>Beat Beetle</x:v>
      </x:c>
      <x:c r="F64" s="58" t="str">
        <x:v>Ingredient</x:v>
      </x:c>
      <x:c r="G64" s="60" t="n">
        <x:v>3</x:v>
      </x:c>
    </x:row>
    <x:row r="65">
      <x:c r="A65" s="58" t="str">
        <x:v>funky_test_kitchen</x:v>
      </x:c>
      <x:c r="B65" s="58" t="str">
        <x:v>Funky Starter</x:v>
      </x:c>
      <x:c r="C65" s="58" t="str">
        <x:v>Funky</x:v>
      </x:c>
      <x:c r="D65" s="58" t="str">
        <x:v>funky_turniptable_turtle</x:v>
      </x:c>
      <x:c r="E65" s="58" t="str">
        <x:v>Turniptable Turtle</x:v>
      </x:c>
      <x:c r="F65" s="58" t="str">
        <x:v>Ingredient</x:v>
      </x:c>
      <x:c r="G65" s="60" t="n">
        <x:v>3</x:v>
      </x:c>
    </x:row>
    <x:row r="66">
      <x:c r="A66" s="58" t="str">
        <x:v>funky_test_kitchen</x:v>
      </x:c>
      <x:c r="B66" s="58" t="str">
        <x:v>Funky Starter</x:v>
      </x:c>
      <x:c r="C66" s="58" t="str">
        <x:v>Funky</x:v>
      </x:c>
      <x:c r="D66" s="58" t="str">
        <x:v>funky_chef_check_chinchilla</x:v>
      </x:c>
      <x:c r="E66" s="58" t="str">
        <x:v>Chef-Check Chinchilla</x:v>
      </x:c>
      <x:c r="F66" s="58" t="str">
        <x:v>Ingredient</x:v>
      </x:c>
      <x:c r="G66" s="60" t="n">
        <x:v>1</x:v>
      </x:c>
    </x:row>
    <x:row r="67">
      <x:c r="A67" s="58" t="str">
        <x:v>funky_test_kitchen</x:v>
      </x:c>
      <x:c r="B67" s="58" t="str">
        <x:v>Funky Starter</x:v>
      </x:c>
      <x:c r="C67" s="58" t="str">
        <x:v>Funky</x:v>
      </x:c>
      <x:c r="D67" s="58" t="str">
        <x:v>funky_toolbox_toad</x:v>
      </x:c>
      <x:c r="E67" s="58" t="str">
        <x:v>Toolbox Toad</x:v>
      </x:c>
      <x:c r="F67" s="58" t="str">
        <x:v>Ingredient</x:v>
      </x:c>
      <x:c r="G67" s="60" t="n">
        <x:v>1</x:v>
      </x:c>
    </x:row>
    <x:row r="68">
      <x:c r="A68" s="58" t="str">
        <x:v>funky_test_kitchen</x:v>
      </x:c>
      <x:c r="B68" s="58" t="str">
        <x:v>Funky Starter</x:v>
      </x:c>
      <x:c r="C68" s="58" t="str">
        <x:v>Funky</x:v>
      </x:c>
      <x:c r="D68" s="58" t="str">
        <x:v>funky_fondue_ferret</x:v>
      </x:c>
      <x:c r="E68" s="58" t="str">
        <x:v>Fondue Ferret</x:v>
      </x:c>
      <x:c r="F68" s="58" t="str">
        <x:v>Ingredient</x:v>
      </x:c>
      <x:c r="G68" s="60" t="n">
        <x:v>3</x:v>
      </x:c>
    </x:row>
    <x:row r="69">
      <x:c r="A69" s="58" t="str">
        <x:v>funky_test_kitchen</x:v>
      </x:c>
      <x:c r="B69" s="58" t="str">
        <x:v>Funky Starter</x:v>
      </x:c>
      <x:c r="C69" s="58" t="str">
        <x:v>Funky</x:v>
      </x:c>
      <x:c r="D69" s="58" t="str">
        <x:v>item_funky_shopping_list</x:v>
      </x:c>
      <x:c r="E69" s="58" t="str">
        <x:v>Funky Shopping List</x:v>
      </x:c>
      <x:c r="F69" s="58" t="str">
        <x:v>Tool</x:v>
      </x:c>
      <x:c r="G69" s="60" t="n">
        <x:v>1</x:v>
      </x:c>
    </x:row>
    <x:row r="70">
      <x:c r="A70" s="58" t="str">
        <x:v>funky_test_kitchen</x:v>
      </x:c>
      <x:c r="B70" s="58" t="str">
        <x:v>Funky Starter</x:v>
      </x:c>
      <x:c r="C70" s="58" t="str">
        <x:v>Funky</x:v>
      </x:c>
      <x:c r="D70" s="58" t="str">
        <x:v>item_recipe_prep</x:v>
      </x:c>
      <x:c r="E70" s="58" t="str">
        <x:v>Recipe Prep</x:v>
      </x:c>
      <x:c r="F70" s="58" t="str">
        <x:v>Tool</x:v>
      </x:c>
      <x:c r="G70" s="60" t="n">
        <x:v>2</x:v>
      </x:c>
    </x:row>
    <x:row r="71">
      <x:c r="A71" s="58" t="str">
        <x:v>funky_test_kitchen</x:v>
      </x:c>
      <x:c r="B71" s="58" t="str">
        <x:v>Funky Starter</x:v>
      </x:c>
      <x:c r="C71" s="58" t="str">
        <x:v>Funky</x:v>
      </x:c>
      <x:c r="D71" s="58" t="str">
        <x:v>item_tool_drawer</x:v>
      </x:c>
      <x:c r="E71" s="58" t="str">
        <x:v>Tool Drawer</x:v>
      </x:c>
      <x:c r="F71" s="58" t="str">
        <x:v>Tool</x:v>
      </x:c>
      <x:c r="G71" s="60" t="n">
        <x:v>1</x:v>
      </x:c>
    </x:row>
    <x:row r="72">
      <x:c r="A72" s="58" t="str">
        <x:v>funky_test_kitchen</x:v>
      </x:c>
      <x:c r="B72" s="58" t="str">
        <x:v>Funky Starter</x:v>
      </x:c>
      <x:c r="C72" s="58" t="str">
        <x:v>Funky</x:v>
      </x:c>
      <x:c r="D72" s="58" t="str">
        <x:v>item_wooden_spoon</x:v>
      </x:c>
      <x:c r="E72" s="58" t="str">
        <x:v>Wooden Spoon</x:v>
      </x:c>
      <x:c r="F72" s="58" t="str">
        <x:v>Tool</x:v>
      </x:c>
      <x:c r="G72" s="60" t="n">
        <x:v>3</x:v>
      </x:c>
    </x:row>
    <x:row r="73">
      <x:c r="A73" s="58" t="str">
        <x:v>funky_test_kitchen</x:v>
      </x:c>
      <x:c r="B73" s="58" t="str">
        <x:v>Funky Starter</x:v>
      </x:c>
      <x:c r="C73" s="58" t="str">
        <x:v>Funky</x:v>
      </x:c>
      <x:c r="D73" s="58" t="str">
        <x:v>item_strainer</x:v>
      </x:c>
      <x:c r="E73" s="58" t="str">
        <x:v>Strainer</x:v>
      </x:c>
      <x:c r="F73" s="58" t="str">
        <x:v>Tool</x:v>
      </x:c>
      <x:c r="G73" s="60" t="n">
        <x:v>2</x:v>
      </x:c>
    </x:row>
    <x:row r="74">
      <x:c r="A74" s="58" t="str">
        <x:v>funky_test_kitchen</x:v>
      </x:c>
      <x:c r="B74" s="58" t="str">
        <x:v>Funky Starter</x:v>
      </x:c>
      <x:c r="C74" s="58" t="str">
        <x:v>Funky</x:v>
      </x:c>
      <x:c r="D74" s="58" t="str">
        <x:v>chef_carl</x:v>
      </x:c>
      <x:c r="E74" s="58" t="str">
        <x:v>Chef Carl</x:v>
      </x:c>
      <x:c r="F74" s="58" t="str">
        <x:v>Chef</x:v>
      </x:c>
      <x:c r="G74" s="60" t="n">
        <x:v>2</x:v>
      </x:c>
    </x:row>
    <x:row r="75">
      <x:c r="A75" s="58" t="str">
        <x:v>funky_test_kitchen</x:v>
      </x:c>
      <x:c r="B75" s="58" t="str">
        <x:v>Funky Starter</x:v>
      </x:c>
      <x:c r="C75" s="58" t="str">
        <x:v>Funky</x:v>
      </x:c>
      <x:c r="D75" s="58" t="str">
        <x:v>chef_mary</x:v>
      </x:c>
      <x:c r="E75" s="58" t="str">
        <x:v>Chef Mary</x:v>
      </x:c>
      <x:c r="F75" s="58" t="str">
        <x:v>Chef</x:v>
      </x:c>
      <x:c r="G75" s="60" t="n">
        <x:v>2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625de23ce3014118"/>
  </x:tableParts>
</x:worksheet>
</file>