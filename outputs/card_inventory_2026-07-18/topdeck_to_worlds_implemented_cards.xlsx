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3d898e5c741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31f002e9d1465c"/>
    <x:sheet xmlns:r="http://schemas.openxmlformats.org/officeDocument/2006/relationships" name="Cards" sheetId="2" r:id="R6768309254824a9a"/>
    <x:sheet xmlns:r="http://schemas.openxmlformats.org/officeDocument/2006/relationships" name="Starter Decks" sheetId="3" r:id="R8052fa25b93748aa"/>
  </x:sheets>
</x:workbook>
</file>

<file path=xl/sharedStrings.xml><?xml version="1.0" encoding="utf-8"?>
<x:sst xmlns:x="http://schemas.openxmlformats.org/spreadsheetml/2006/main">
  <x:si>
    <x:t xml:space="preserve">Live catalog inventory from data/cards.json (schema v2), verified 2026-07-18</x:t>
  </x:si>
  <x:si>
    <x:t xml:space="preserve">Catalog KPI</x:t>
  </x:si>
  <x:si>
    <x:t xml:space="preserve">Count</x:t>
  </x:si>
  <x:si>
    <x:t xml:space="preserve">Card Type</x:t>
  </x:si>
  <x:si>
    <x:t xml:space="preserve">Rarity</x:t>
  </x:si>
  <x:si>
    <x:t xml:space="preserve">Total cards</x:t>
  </x:si>
  <x:si>
    <x:t xml:space="preserve">Ingredient</x:t>
  </x:si>
  <x:si>
    <x:t xml:space="preserve">Common</x:t>
  </x:si>
  <x:si>
    <x:t xml:space="preserve">Used in a starter deck</x:t>
  </x:si>
  <x:si>
    <x:t xml:space="preserve">Meal</x:t>
  </x:si>
  <x:si>
    <x:t xml:space="preserve">Uncommon</x:t>
  </x:si>
  <x:si>
    <x:t xml:space="preserve">Not currently in a starter deck</x:t>
  </x:si>
  <x:si>
    <x:t xml:space="preserve">Tool</x:t>
  </x:si>
  <x:si>
    <x:t xml:space="preserve">Rare</x:t>
  </x:si>
  <x:si>
    <x:t xml:space="preserve">Spice</x:t>
  </x:si>
  <x:si>
    <x:t xml:space="preserve">Mythic</x:t>
  </x:si>
  <x:si>
    <x:t xml:space="preserve">Environment</x:t>
  </x:si>
  <x:si>
    <x:t xml:space="preserve">Chef</x:t>
  </x:si>
  <x:si>
    <x:t xml:space="preserve">Archetype</x:t>
  </x:si>
  <x:si>
    <x:t xml:space="preserve">Starter Deck</x:t>
  </x:si>
  <x:si>
    <x:t xml:space="preserve">Total Cards</x:t>
  </x:si>
  <x:si>
    <x:t xml:space="preserve">Spicy</x:t>
  </x:si>
  <x:si>
    <x:t xml:space="preserve">Spicy Starter</x:t>
  </x:si>
  <x:si>
    <x:t xml:space="preserve">Hearty</x:t>
  </x:si>
  <x:si>
    <x:t xml:space="preserve">Hearty Starter</x:t>
  </x:si>
  <x:si>
    <x:t xml:space="preserve">Sweet</x:t>
  </x:si>
  <x:si>
    <x:t xml:space="preserve">Sweet Starter</x:t>
  </x:si>
  <x:si>
    <x:t xml:space="preserve">Fresh</x:t>
  </x:si>
  <x:si>
    <x:t xml:space="preserve">Fresh Starter</x:t>
  </x:si>
  <x:si>
    <x:t xml:space="preserve">Funky</x:t>
  </x:si>
  <x:si>
    <x:t xml:space="preserve">Funky Starter</x:t>
  </x:si>
  <x:si>
    <x:t xml:space="preserve">Neutral</x:t>
  </x:si>
  <x:si>
    <x:t xml:space="preserve">Implementation note</x:t>
  </x:si>
  <x:si>
    <x:t xml:space="preserve">Cards are included when present in the live catalog loaded by ContentCatalog.gd. Campaign rarity and runtime cost are calculated using the same rules as the game code.</x:t>
  </x:si>
  <x:si>
    <x:t xml:space="preserve">Currently Implemented Cards</x:t>
  </x:si>
  <x:si>
    <x:t xml:space="preserve">Filter by type, archetype, rarity, or starter-deck usage. Runtime Cost and Campaign Rarity mirror ContentCatalog.gd.</x:t>
  </x:si>
  <x:si>
    <x:t xml:space="preserve">#</x:t>
  </x:si>
  <x:si>
    <x:t xml:space="preserve">Card ID</x:t>
  </x:si>
  <x:si>
    <x:t xml:space="preserve">Name</x:t>
  </x:si>
  <x:si>
    <x:t xml:space="preserve">Subtitle</x:t>
  </x:si>
  <x:si>
    <x:t xml:space="preserve">Rare Flag</x:t>
  </x:si>
  <x:si>
    <x:t xml:space="preserve">Campaign Rarity</x:t>
  </x:si>
  <x:si>
    <x:t xml:space="preserve">Attack</x:t>
  </x:si>
  <x:si>
    <x:t xml:space="preserve">Health</x:t>
  </x:si>
  <x:si>
    <x:t xml:space="preserve">Recipe / Ingredient Types</x:t>
  </x:si>
  <x:si>
    <x:t xml:space="preserve">Recipe Cost</x:t>
  </x:si>
  <x:si>
    <x:t xml:space="preserve">Discard Cost</x:t>
  </x:si>
  <x:si>
    <x:t xml:space="preserve">Runtime Cost</x:t>
  </x:si>
  <x:si>
    <x:t xml:space="preserve">Keywords</x:t>
  </x:si>
  <x:si>
    <x:t xml:space="preserve">Rules Text</x:t>
  </x:si>
  <x:si>
    <x:t xml:space="preserve">Implementation Hooks</x:t>
  </x:si>
  <x:si>
    <x:t xml:space="preserve">Starter Decks</x:t>
  </x:si>
  <x:si>
    <x:t xml:space="preserve">Starter Copies</x:t>
  </x:si>
  <x:si>
    <x:t xml:space="preserve">Source</x:t>
  </x:si>
  <x:si>
    <x:t xml:space="preserve">spicy_sriracharrow</x:t>
  </x:si>
  <x:si>
    <x:t xml:space="preserve">Sriracharrow</x:t>
  </x:si>
  <x:si>
    <x:t xml:space="preserve">Sriracha Sparrow</x:t>
  </x:si>
  <x:si>
    <x:t xml:space="preserve">No</x:t>
  </x:si>
  <x:si>
    <x:t xml:space="preserve">data/cards.json</x:t>
  </x:si>
  <x:si>
    <x:t xml:space="preserve">spicy_firecracker_shrimp</x:t>
  </x:si>
  <x:si>
    <x:t xml:space="preserve">Firecracker Shrimp</x:t>
  </x:si>
  <x:si>
    <x:t xml:space="preserve">Spicy + Spicy</x:t>
  </x:si>
  <x:si>
    <x:t xml:space="preserve">When this attacks, deal 2 damage to one opposing card in Prep.</x:t>
  </x:si>
  <x:si>
    <x:t xml:space="preserve">on_attack</x:t>
  </x:si>
  <x:si>
    <x:t xml:space="preserve">spicy_vindaloo_beluga</x:t>
  </x:si>
  <x:si>
    <x:t xml:space="preserve">Vindaloo Beluga</x:t>
  </x:si>
  <x:si>
    <x:t xml:space="preserve">Yes</x:t>
  </x:si>
  <x:si>
    <x:t xml:space="preserve">Sacrifice this meal: deal 4 damage to a target opposing Plated unit.</x:t>
  </x:si>
  <x:si>
    <x:t xml:space="preserve">abilities</x:t>
  </x:si>
  <x:si>
    <x:t xml:space="preserve">spicy_hot_pot_panda</x:t>
  </x:si>
  <x:si>
    <x:t xml:space="preserve">Hot Pot Panda</x:t>
  </x:si>
  <x:si>
    <x:t xml:space="preserve">Whenever this is dealt damage, deal 1 damage to the opposing chef.</x:t>
  </x:si>
  <x:si>
    <x:t xml:space="preserve">on_damaged</x:t>
  </x:si>
  <x:si>
    <x:t xml:space="preserve">spicy_buffalo_wings</x:t>
  </x:si>
  <x:si>
    <x:t xml:space="preserve">Buffalo Wings</x:t>
  </x:si>
  <x:si>
    <x:t xml:space="preserve">Buffalo</x:t>
  </x:si>
  <x:si>
    <x:t xml:space="preserve">Spicy + Spicy + Spicy</x:t>
  </x:si>
  <x:si>
    <x:t xml:space="preserve">When served, deal 1 damage to all enemies.</x:t>
  </x:si>
  <x:si>
    <x:t xml:space="preserve">on_play</x:t>
  </x:si>
  <x:si>
    <x:t xml:space="preserve">hearty_dumpling_tortoise</x:t>
  </x:si>
  <x:si>
    <x:t xml:space="preserve">Dumpling-Backed Tortoise</x:t>
  </x:si>
  <x:si>
    <x:t xml:space="preserve">hearty_stewoose</x:t>
  </x:si>
  <x:si>
    <x:t xml:space="preserve">Stewoose</x:t>
  </x:si>
  <x:si>
    <x:t xml:space="preserve">Stew Moose</x:t>
  </x:si>
  <x:si>
    <x:t xml:space="preserve">Hearty + Hearty</x:t>
  </x:si>
  <x:si>
    <x:t xml:space="preserve">When served, heal your chef for 2.</x:t>
  </x:si>
  <x:si>
    <x:t xml:space="preserve">hearty_bison_burrito</x:t>
  </x:si>
  <x:si>
    <x:t xml:space="preserve">Bison Burrito</x:t>
  </x:si>
  <x:si>
    <x:t xml:space="preserve">Burrito Bison</x:t>
  </x:si>
  <x:si>
    <x:t xml:space="preserve">While this is in Prep, your Plated units get +1/+1.</x:t>
  </x:si>
  <x:si>
    <x:t xml:space="preserve">auras</x:t>
  </x:si>
  <x:si>
    <x:t xml:space="preserve">hearty_mastiff_potato</x:t>
  </x:si>
  <x:si>
    <x:t xml:space="preserve">Mastiff Potato</x:t>
  </x:si>
  <x:si>
    <x:t xml:space="preserve">Mastiff Mashed Potato</x:t>
  </x:si>
  <x:si>
    <x:t xml:space="preserve">Hearty + Any</x:t>
  </x:si>
  <x:si>
    <x:t xml:space="preserve">The first time this moves from Prep to Plated, it gets +2/+2.</x:t>
  </x:si>
  <x:si>
    <x:t xml:space="preserve">on_move_to_plated</x:t>
  </x:si>
  <x:si>
    <x:t xml:space="preserve">hearty_polar_pot_pie_bear</x:t>
  </x:si>
  <x:si>
    <x:t xml:space="preserve">Polar Pot Pie Bear</x:t>
  </x:si>
  <x:si>
    <x:t xml:space="preserve">Pot Pie Polar Bear</x:t>
  </x:si>
  <x:si>
    <x:t xml:space="preserve">Hearty + Hearty + Hearty</x:t>
  </x:si>
  <x:si>
    <x:t xml:space="preserve">While Plated, once per turn heal 1 damage from each other friendly unit.</x:t>
  </x:si>
  <x:si>
    <x:t xml:space="preserve">sweet_pup_tart</x:t>
  </x:si>
  <x:si>
    <x:t xml:space="preserve">Pup Tart</x:t>
  </x:si>
  <x:si>
    <x:t xml:space="preserve">sweet_strawberry_sharkcake</x:t>
  </x:si>
  <x:si>
    <x:t xml:space="preserve">Strawberry Sharkcake</x:t>
  </x:si>
  <x:si>
    <x:t xml:space="preserve">Shortcake Shark</x:t>
  </x:si>
  <x:si>
    <x:t xml:space="preserve">Sweet + Sweet</x:t>
  </x:si>
  <x:si>
    <x:t xml:space="preserve">When served, draw 2 cards.</x:t>
  </x:si>
  <x:si>
    <x:t xml:space="preserve">sweet_donutphin</x:t>
  </x:si>
  <x:si>
    <x:t xml:space="preserve">Donutphin</x:t>
  </x:si>
  <x:si>
    <x:t xml:space="preserve">Donut Dolphin</x:t>
  </x:si>
  <x:si>
    <x:t xml:space="preserve">When this deals combat damage to the opposing chef, they cannot use a Chef next turn.</x:t>
  </x:si>
  <x:si>
    <x:t xml:space="preserve">on_combat_damage_to_chef</x:t>
  </x:si>
  <x:si>
    <x:t xml:space="preserve">sweet_pandacake</x:t>
  </x:si>
  <x:si>
    <x:t xml:space="preserve">Pandacake</x:t>
  </x:si>
  <x:si>
    <x:t xml:space="preserve">Pancake Panda</x:t>
  </x:si>
  <x:si>
    <x:t xml:space="preserve">While this is in Prep, your other Plated units have +2 Health.</x:t>
  </x:si>
  <x:si>
    <x:t xml:space="preserve">sweet_cinnamon_snail</x:t>
  </x:si>
  <x:si>
    <x:t xml:space="preserve">Cinnamon Snail</x:t>
  </x:si>
  <x:si>
    <x:t xml:space="preserve">Cinnamon Roll Snail</x:t>
  </x:si>
  <x:si>
    <x:t xml:space="preserve">While this is Plated, opposing Meals require 1 additional Ingredient and opposing healing is reduced by 2.</x:t>
  </x:si>
  <x:si>
    <x:t xml:space="preserve">auras, opponent_healing_reduction</x:t>
  </x:si>
  <x:si>
    <x:t xml:space="preserve">sweet_parfait_parrot</x:t>
  </x:si>
  <x:si>
    <x:t xml:space="preserve">Parfait Parrot</x:t>
  </x:si>
  <x:si>
    <x:t xml:space="preserve">At the end of your turn, if this is Plated, draw 1 card.</x:t>
  </x:si>
  <x:si>
    <x:t xml:space="preserve">on_end_turn, end_turn_zone</x:t>
  </x:si>
  <x:si>
    <x:t xml:space="preserve">hearty_gravy_gazelle</x:t>
  </x:si>
  <x:si>
    <x:t xml:space="preserve">Gravy Gazelle</x:t>
  </x:si>
  <x:si>
    <x:t xml:space="preserve">While Plated, once per turn give a friendly Plated unit +1/+1.</x:t>
  </x:si>
  <x:si>
    <x:t xml:space="preserve">fresh_harvest_hydra</x:t>
  </x:si>
  <x:si>
    <x:t xml:space="preserve">Harvest Hydra</x:t>
  </x:si>
  <x:si>
    <x:t xml:space="preserve">To serve this, also sacrifice a Fresh Meal. When served, sacrifice all your other units; this gains their combined Attack and maximum Health, including the units used to serve it.</x:t>
  </x:si>
  <x:si>
    <x:t xml:space="preserve">required_meal_archetype, on_play</x:t>
  </x:si>
  <x:si>
    <x:t xml:space="preserve">fresh_garden_gorilla</x:t>
  </x:si>
  <x:si>
    <x:t xml:space="preserve">Garden Gorilla</x:t>
  </x:si>
  <x:si>
    <x:t xml:space="preserve">Fresh + Fresh</x:t>
  </x:si>
  <x:si>
    <x:t xml:space="preserve">This gets +2 Attack for each other Fresh unit in your Prep area.</x:t>
  </x:si>
  <x:si>
    <x:t xml:space="preserve">self_attack_per_friendly_prep_archetype, count_archetype</x:t>
  </x:si>
  <x:si>
    <x:t xml:space="preserve">fresh_saladmander</x:t>
  </x:si>
  <x:si>
    <x:t xml:space="preserve">Saladmander</x:t>
  </x:si>
  <x:si>
    <x:t xml:space="preserve">Salad Salamander</x:t>
  </x:si>
  <x:si>
    <x:t xml:space="preserve">spicy_pepper_pike</x:t>
  </x:si>
  <x:si>
    <x:t xml:space="preserve">Pepper Pike</x:t>
  </x:si>
  <x:si>
    <x:t xml:space="preserve">While Plated, once per turn deal 1 damage to an opposing Meal.</x:t>
  </x:si>
  <x:si>
    <x:t xml:space="preserve">hearty_meatloaf_mole</x:t>
  </x:si>
  <x:si>
    <x:t xml:space="preserve">Meatloaf Mole</x:t>
  </x:si>
  <x:si>
    <x:t xml:space="preserve">When this KOs an opposing unit, heal 2 damage from this.</x:t>
  </x:si>
  <x:si>
    <x:t xml:space="preserve">on_ko_enemy</x:t>
  </x:si>
  <x:si>
    <x:t xml:space="preserve">hearty_broth_buffalo</x:t>
  </x:si>
  <x:si>
    <x:t xml:space="preserve">Broth Buffalo</x:t>
  </x:si>
  <x:si>
    <x:t xml:space="preserve">While Plated, once per turn heal 2 damage from a friendly unit.</x:t>
  </x:si>
  <x:si>
    <x:t xml:space="preserve">funky_remix_raccoon</x:t>
  </x:si>
  <x:si>
    <x:t xml:space="preserve">Remix Raccoon</x:t>
  </x:si>
  <x:si>
    <x:t xml:space="preserve">Funky + Funky + Funky</x:t>
  </x:si>
  <x:si>
    <x:t xml:space="preserve">Once per turn, copy the activated ability of another unit in your Prep area and pay its costs.</x:t>
  </x:si>
  <x:si>
    <x:t xml:space="preserve">funky_leftover_lynx</x:t>
  </x:si>
  <x:si>
    <x:t xml:space="preserve">Leftover Lynx</x:t>
  </x:si>
  <x:si>
    <x:t xml:space="preserve">Funky + Funky</x:t>
  </x:si>
  <x:si>
    <x:t xml:space="preserve">When served, return a unit from your discard pile to your hand.</x:t>
  </x:si>
  <x:si>
    <x:t xml:space="preserve">sweet_bottomless_trifle_tern</x:t>
  </x:si>
  <x:si>
    <x:t xml:space="preserve">Bottomless Trifle Tern</x:t>
  </x:si>
  <x:si>
    <x:t xml:space="preserve">To serve this, also sacrifice a Sweet Meal. The first time this attacks each turn, draw until you have 6 cards.</x:t>
  </x:si>
  <x:si>
    <x:t xml:space="preserve">required_meal_archetype, on_attack</x:t>
  </x:si>
  <x:si>
    <x:t xml:space="preserve">sweet_pudding_puma</x:t>
  </x:si>
  <x:si>
    <x:t xml:space="preserve">Pudding Puma</x:t>
  </x:si>
  <x:si>
    <x:t xml:space="preserve">This can attack while in Prep.</x:t>
  </x:si>
  <x:si>
    <x:t xml:space="preserve">can_attack_from_prep</x:t>
  </x:si>
  <x:si>
    <x:t xml:space="preserve">funky_trap_jam_tapir</x:t>
  </x:si>
  <x:si>
    <x:t xml:space="preserve">Trap Jam Tapir</x:t>
  </x:si>
  <x:si>
    <x:t xml:space="preserve">While Plated, once per turn negate an opposing Hand Trap.</x:t>
  </x:si>
  <x:si>
    <x:t xml:space="preserve">hand_trap_guard, hand_trap_guard_zone</x:t>
  </x:si>
  <x:si>
    <x:t xml:space="preserve">spicy_hot_honey_bee</x:t>
  </x:si>
  <x:si>
    <x:t xml:space="preserve">Hot Honey Bee</x:t>
  </x:si>
  <x:si>
    <x:t xml:space="preserve">When played, deal 1 damage to the opposing chef.</x:t>
  </x:si>
  <x:si>
    <x:t xml:space="preserve">spicy_jalapeno_panther</x:t>
  </x:si>
  <x:si>
    <x:t xml:space="preserve">Jalapeño Panther</x:t>
  </x:si>
  <x:si>
    <x:t xml:space="preserve">spicy_red_pepper_panda</x:t>
  </x:si>
  <x:si>
    <x:t xml:space="preserve">Red Pepper Panda</x:t>
  </x:si>
  <x:si>
    <x:t xml:space="preserve">Stalwart</x:t>
  </x:si>
  <x:si>
    <x:t xml:space="preserve">Stalwart — this card can attack the opposing chef even while they control Plated cards.</x:t>
  </x:si>
  <x:si>
    <x:t xml:space="preserve">spicy_wasabi_wasp</x:t>
  </x:si>
  <x:si>
    <x:t xml:space="preserve">Wastabi</x:t>
  </x:si>
  <x:si>
    <x:t xml:space="preserve">Wasabi Wasp</x:t>
  </x:si>
  <x:si>
    <x:t xml:space="preserve">When played, deal 1 damage to all opposing Plated units.</x:t>
  </x:si>
  <x:si>
    <x:t xml:space="preserve">spicy_jalapeno_jackal</x:t>
  </x:si>
  <x:si>
    <x:t xml:space="preserve">Jakapeno</x:t>
  </x:si>
  <x:si>
    <x:t xml:space="preserve">Jalapeño Jackal</x:t>
  </x:si>
  <x:si>
    <x:t xml:space="preserve">Sacrifice this: search your deck for a Spicy card.</x:t>
  </x:si>
  <x:si>
    <x:t xml:space="preserve">spicy_peppercorn_porcupine</x:t>
  </x:si>
  <x:si>
    <x:t xml:space="preserve">Peppercupine</x:t>
  </x:si>
  <x:si>
    <x:t xml:space="preserve">Peppercorn Porcupine</x:t>
  </x:si>
  <x:si>
    <x:t xml:space="preserve">When played, search your deck for a Spicy meal.</x:t>
  </x:si>
  <x:si>
    <x:t xml:space="preserve">spicy_habanero_hare</x:t>
  </x:si>
  <x:si>
    <x:t xml:space="preserve">Harebanero</x:t>
  </x:si>
  <x:si>
    <x:t xml:space="preserve">Habanero Hare</x:t>
  </x:si>
  <x:si>
    <x:t xml:space="preserve">When sacrificed, deal 2 damage to a random opposing card in Prep.</x:t>
  </x:si>
  <x:si>
    <x:t xml:space="preserve">on_sacrifice</x:t>
  </x:si>
  <x:si>
    <x:t xml:space="preserve">spicy_ghost_pepper_python</x:t>
  </x:si>
  <x:si>
    <x:t xml:space="preserve">Ghost Pepython</x:t>
  </x:si>
  <x:si>
    <x:t xml:space="preserve">Ghost Pepper Python</x:t>
  </x:si>
  <x:si>
    <x:t xml:space="preserve">When played, discard your hand. If you discarded at least one card this way, draw 3.</x:t>
  </x:si>
  <x:si>
    <x:t xml:space="preserve">spicy_chili_cicada</x:t>
  </x:si>
  <x:si>
    <x:t xml:space="preserve">Chili Cicada</x:t>
  </x:si>
  <x:si>
    <x:t xml:space="preserve">When this is KO'd, deal 3 damage to an opposing unit.</x:t>
  </x:si>
  <x:si>
    <x:t xml:space="preserve">on_ko</x:t>
  </x:si>
  <x:si>
    <x:t xml:space="preserve">funky_beat_beetle</x:t>
  </x:si>
  <x:si>
    <x:t xml:space="preserve">Beat Beetle</x:t>
  </x:si>
  <x:si>
    <x:t xml:space="preserve">When played, discard the top card of your deck. If it is a unit, this gets +3/+3.</x:t>
  </x:si>
  <x:si>
    <x:t xml:space="preserve">fresh_salad_shield_skunk</x:t>
  </x:si>
  <x:si>
    <x:t xml:space="preserve">Salad Shield Skunk</x:t>
  </x:si>
  <x:si>
    <x:t xml:space="preserve">While this is in Prep, opposing effects cannot damage your other Prep units.</x:t>
  </x:si>
  <x:si>
    <x:t xml:space="preserve">protect_other_friendly_prep_from_effect_damage</x:t>
  </x:si>
  <x:si>
    <x:t xml:space="preserve">funky_chef_check_chinchilla</x:t>
  </x:si>
  <x:si>
    <x:t xml:space="preserve">Chef-Check Chinchilla</x:t>
  </x:si>
  <x:si>
    <x:t xml:space="preserve">Hand_trap</x:t>
  </x:si>
  <x:si>
    <x:t xml:space="preserve">Hand Trap — when your opponent uses a Chef, discard this to negate it.</x:t>
  </x:si>
  <x:si>
    <x:t xml:space="preserve">hand_trap</x:t>
  </x:si>
  <x:si>
    <x:t xml:space="preserve">spicy_pantry_pouncer</x:t>
  </x:si>
  <x:si>
    <x:t xml:space="preserve">Pantry Pouncer</x:t>
  </x:si>
  <x:si>
    <x:t xml:space="preserve">Hand Trap — when your opponent plays an Ingredient, discard this to destroy it after its on-play effect resolves.</x:t>
  </x:si>
  <x:si>
    <x:t xml:space="preserve">funky_toolbox_toad</x:t>
  </x:si>
  <x:si>
    <x:t xml:space="preserve">Toolbox Toad</x:t>
  </x:si>
  <x:si>
    <x:t xml:space="preserve">Hand Trap — when your opponent uses a Tool, discard this to negate it.</x:t>
  </x:si>
  <x:si>
    <x:t xml:space="preserve">sweet_ability_axolotl</x:t>
  </x:si>
  <x:si>
    <x:t xml:space="preserve">Ability Axolotl</x:t>
  </x:si>
  <x:si>
    <x:t xml:space="preserve">Hand Trap — when your opponent activates a unit ability, discard this to negate that ability. Its costs remain paid.</x:t>
  </x:si>
  <x:si>
    <x:t xml:space="preserve">fresh_comeback_corgi</x:t>
  </x:si>
  <x:si>
    <x:t xml:space="preserve">Comeback Cucumber Corgi</x:t>
  </x:si>
  <x:si>
    <x:t xml:space="preserve">After your Chef takes damage, if your Plated and Prep areas have room, you may play this Plated and create a 1/1 Fresh Ingredient token in Prep. That token becomes recipe-ready next turn.</x:t>
  </x:si>
  <x:si>
    <x:t xml:space="preserve">hand_trigger</x:t>
  </x:si>
  <x:si>
    <x:t xml:space="preserve">fresh_crisp_capybara</x:t>
  </x:si>
  <x:si>
    <x:t xml:space="preserve">Crisp Capybara</x:t>
  </x:si>
  <x:si>
    <x:t xml:space="preserve">fresh_sprout_squirrel</x:t>
  </x:si>
  <x:si>
    <x:t xml:space="preserve">Sprout Squirrel</x:t>
  </x:si>
  <x:si>
    <x:t xml:space="preserve">When played, create a 1/1 Fresh Ingredient token in Prep if there is room.</x:t>
  </x:si>
  <x:si>
    <x:t xml:space="preserve">funky_fondue_ferret</x:t>
  </x:si>
  <x:si>
    <x:t xml:space="preserve">Fondue Ferret</x:t>
  </x:si>
  <x:si>
    <x:t xml:space="preserve">funky_turniptable_turtle</x:t>
  </x:si>
  <x:si>
    <x:t xml:space="preserve">Turniptable Turtle</x:t>
  </x:si>
  <x:si>
    <x:t xml:space="preserve">Turnip Turntable Turtle</x:t>
  </x:si>
  <x:si>
    <x:t xml:space="preserve">While in Prep, once per turn discard the top card of your deck. If it is a unit, this gets +1/+1.</x:t>
  </x:si>
  <x:si>
    <x:t xml:space="preserve">hearty_bagver</x:t>
  </x:si>
  <x:si>
    <x:t xml:space="preserve">Bagver</x:t>
  </x:si>
  <x:si>
    <x:t xml:space="preserve">When sacrificed, heal your chef for 1.</x:t>
  </x:si>
  <x:si>
    <x:t xml:space="preserve">hearty_french_bread_dog</x:t>
  </x:si>
  <x:si>
    <x:t xml:space="preserve">French Bread Dog</x:t>
  </x:si>
  <x:si>
    <x:t xml:space="preserve">Taunt</x:t>
  </x:si>
  <x:si>
    <x:t xml:space="preserve">Taunt — this Plated card must be attacked first.</x:t>
  </x:si>
  <x:si>
    <x:t xml:space="preserve">hearty_macaroni_manatee</x:t>
  </x:si>
  <x:si>
    <x:t xml:space="preserve">Macaronatee</x:t>
  </x:si>
  <x:si>
    <x:t xml:space="preserve">Macaroni Manatee</x:t>
  </x:si>
  <x:si>
    <x:t xml:space="preserve">hearty_ramen_ram</x:t>
  </x:si>
  <x:si>
    <x:t xml:space="preserve">Ramen</x:t>
  </x:si>
  <x:si>
    <x:t xml:space="preserve">Ramen Ram</x:t>
  </x:si>
  <x:si>
    <x:t xml:space="preserve">When played, give one of your units +1 attack.</x:t>
  </x:si>
  <x:si>
    <x:t xml:space="preserve">hearty_baked_potato_pangolin</x:t>
  </x:si>
  <x:si>
    <x:t xml:space="preserve">Baked Potangolin</x:t>
  </x:si>
  <x:si>
    <x:t xml:space="preserve">Baked Potato Pangolin</x:t>
  </x:si>
  <x:si>
    <x:t xml:space="preserve">When played, give a Plated unit +2 attack this turn.</x:t>
  </x:si>
  <x:si>
    <x:t xml:space="preserve">hearty_lemming_lentils</x:t>
  </x:si>
  <x:si>
    <x:t xml:space="preserve">Lentils</x:t>
  </x:si>
  <x:si>
    <x:t xml:space="preserve">Lemming Lentils</x:t>
  </x:si>
  <x:si>
    <x:t xml:space="preserve">When played, search your deck for a Hearty meal.</x:t>
  </x:si>
  <x:si>
    <x:t xml:space="preserve">hearty_bird_beakon</x:t>
  </x:si>
  <x:si>
    <x:t xml:space="preserve">Bacon</x:t>
  </x:si>
  <x:si>
    <x:t xml:space="preserve">Bird Beakon</x:t>
  </x:si>
  <x:si>
    <x:t xml:space="preserve">When played, heal 2 damage from a unit.</x:t>
  </x:si>
  <x:si>
    <x:t xml:space="preserve">hearty_kale_whale</x:t>
  </x:si>
  <x:si>
    <x:t xml:space="preserve">Kwhale</x:t>
  </x:si>
  <x:si>
    <x:t xml:space="preserve">Kale Whale</x:t>
  </x:si>
  <x:si>
    <x:t xml:space="preserve">When played, heal 1 damage from all your units.</x:t>
  </x:si>
  <x:si>
    <x:t xml:space="preserve">sweet_sugar_glider</x:t>
  </x:si>
  <x:si>
    <x:t xml:space="preserve">Sugar Glider</x:t>
  </x:si>
  <x:si>
    <x:t xml:space="preserve">When sacrificed, draw 1 card.</x:t>
  </x:si>
  <x:si>
    <x:t xml:space="preserve">sweet_marshmallow_swallow</x:t>
  </x:si>
  <x:si>
    <x:t xml:space="preserve">Marshmallow Swallows</x:t>
  </x:si>
  <x:si>
    <x:t xml:space="preserve">sweet_caramel_camel</x:t>
  </x:si>
  <x:si>
    <x:t xml:space="preserve">Caramel Camel</x:t>
  </x:si>
  <x:si>
    <x:t xml:space="preserve">When played, draw 1 card.</x:t>
  </x:si>
  <x:si>
    <x:t xml:space="preserve">sweet_toffee_collie</x:t>
  </x:si>
  <x:si>
    <x:t xml:space="preserve">Toffee Collie</x:t>
  </x:si>
  <x:si>
    <x:t xml:space="preserve">When this deals combat damage to the opposing chef, they cannot use Tools next turn.</x:t>
  </x:si>
  <x:si>
    <x:t xml:space="preserve">sweet_nutmeg_newt</x:t>
  </x:si>
  <x:si>
    <x:t xml:space="preserve">Nutmeg</x:t>
  </x:si>
  <x:si>
    <x:t xml:space="preserve">Newtmeg</x:t>
  </x:si>
  <x:si>
    <x:t xml:space="preserve">Bodyguard</x:t>
  </x:si>
  <x:si>
    <x:t xml:space="preserve">Bodyguard — attacks into this card deal no piercing damage.</x:t>
  </x:si>
  <x:si>
    <x:t xml:space="preserve">sweet_vanilla_gorilla</x:t>
  </x:si>
  <x:si>
    <x:t xml:space="preserve">Vanilla Extract Gorilla</x:t>
  </x:si>
  <x:si>
    <x:t xml:space="preserve">When played, draw 1. If you control three other Sweet units, draw 2 instead.</x:t>
  </x:si>
  <x:si>
    <x:t xml:space="preserve">sweet_soft_serve_crab</x:t>
  </x:si>
  <x:si>
    <x:t xml:space="preserve">Soft Serve Crab</x:t>
  </x:si>
  <x:si>
    <x:t xml:space="preserve">When played, search your deck for a Sweet card.</x:t>
  </x:si>
  <x:si>
    <x:t xml:space="preserve">sweet_jellyfish</x:t>
  </x:si>
  <x:si>
    <x:t xml:space="preserve">Jellyfish</x:t>
  </x:si>
  <x:si>
    <x:t xml:space="preserve">When played, return an opposing ingredient to its owner's hand.</x:t>
  </x:si>
  <x:si>
    <x:t xml:space="preserve">item_spicy_shopping_list</x:t>
  </x:si>
  <x:si>
    <x:t xml:space="preserve">Spicy Shopping List</x:t>
  </x:si>
  <x:si>
    <x:t xml:space="preserve">Discard 1 card; search your deck for a Spicy ingredient.</x:t>
  </x:si>
  <x:si>
    <x:t xml:space="preserve">effects</x:t>
  </x:si>
  <x:si>
    <x:t xml:space="preserve">item_sweet_shopping_list</x:t>
  </x:si>
  <x:si>
    <x:t xml:space="preserve">Sweet Shopping List</x:t>
  </x:si>
  <x:si>
    <x:t xml:space="preserve">Discard 1 card; search your deck for a Sweet ingredient.</x:t>
  </x:si>
  <x:si>
    <x:t xml:space="preserve">item_hearty_shopping_list</x:t>
  </x:si>
  <x:si>
    <x:t xml:space="preserve">Hearty Shopping List</x:t>
  </x:si>
  <x:si>
    <x:t xml:space="preserve">Discard 1 card; search your deck for a Hearty ingredient.</x:t>
  </x:si>
  <x:si>
    <x:t xml:space="preserve">item_fresh_shopping_list</x:t>
  </x:si>
  <x:si>
    <x:t xml:space="preserve">Fresh Shopping List</x:t>
  </x:si>
  <x:si>
    <x:t xml:space="preserve">Discard 1 card; search your deck for a Fresh Ingredient.</x:t>
  </x:si>
  <x:si>
    <x:t xml:space="preserve">item_funky_shopping_list</x:t>
  </x:si>
  <x:si>
    <x:t xml:space="preserve">Funky Shopping List</x:t>
  </x:si>
  <x:si>
    <x:t xml:space="preserve">Discard 1 card; search your deck for a Funky Ingredient.</x:t>
  </x:si>
  <x:si>
    <x:t xml:space="preserve">item_recipe_prep</x:t>
  </x:si>
  <x:si>
    <x:t xml:space="preserve">Recipe Prep</x:t>
  </x:si>
  <x:si>
    <x:t xml:space="preserve">Discard 2 cards; search your deck for a unit.</x:t>
  </x:si>
  <x:si>
    <x:t xml:space="preserve">Spicy Starter, Hearty Starter, Sweet Starter, Fresh Starter, Funky Starter</x:t>
  </x:si>
  <x:si>
    <x:t xml:space="preserve">item_blow_torch</x:t>
  </x:si>
  <x:si>
    <x:t xml:space="preserve">Blow Torch</x:t>
  </x:si>
  <x:si>
    <x:t xml:space="preserve">Move a Spicy card to Prep; destroy a card your opponent controls.</x:t>
  </x:si>
  <x:si>
    <x:t xml:space="preserve">item_tool_drawer</x:t>
  </x:si>
  <x:si>
    <x:t xml:space="preserve">Tool Drawer</x:t>
  </x:si>
  <x:si>
    <x:t xml:space="preserve">Look at the top 4 cards of your deck. Put a Tool from among them into your hand.</x:t>
  </x:si>
  <x:si>
    <x:t xml:space="preserve">item_tongs</x:t>
  </x:si>
  <x:si>
    <x:t xml:space="preserve">Tongs</x:t>
  </x:si>
  <x:si>
    <x:t xml:space="preserve">Your opponent reveals their hand. Put a unit from it onto their field.</x:t>
  </x:si>
  <x:si>
    <x:t xml:space="preserve">item_strainer</x:t>
  </x:si>
  <x:si>
    <x:t xml:space="preserve">Strainer</x:t>
  </x:si>
  <x:si>
    <x:t xml:space="preserve">Shuffle 2 cards from your discard into your deck.</x:t>
  </x:si>
  <x:si>
    <x:t xml:space="preserve">Fresh Starter, Funky Starter</x:t>
  </x:si>
  <x:si>
    <x:t xml:space="preserve">item_hand_mixer</x:t>
  </x:si>
  <x:si>
    <x:t xml:space="preserve">Hand Mixer</x:t>
  </x:si>
  <x:si>
    <x:t xml:space="preserve">Swap the attack and health of a unit.</x:t>
  </x:si>
  <x:si>
    <x:t xml:space="preserve">item_grater</x:t>
  </x:si>
  <x:si>
    <x:t xml:space="preserve">Grater</x:t>
  </x:si>
  <x:si>
    <x:t xml:space="preserve">Remove a Spice from an opposing unit.</x:t>
  </x:si>
  <x:si>
    <x:t xml:space="preserve">item_measuring_cup</x:t>
  </x:si>
  <x:si>
    <x:t xml:space="preserve">Measuring Cup</x:t>
  </x:si>
  <x:si>
    <x:t xml:space="preserve">Discard 2 cards; return 2 units from your discard to your hand.</x:t>
  </x:si>
  <x:si>
    <x:t xml:space="preserve">item_wooden_spoon</x:t>
  </x:si>
  <x:si>
    <x:t xml:space="preserve">Wooden Spoon</x:t>
  </x:si>
  <x:si>
    <x:t xml:space="preserve">Draw 1 card.</x:t>
  </x:si>
  <x:si>
    <x:t xml:space="preserve">spice_cayenne_crunch</x:t>
  </x:si>
  <x:si>
    <x:t xml:space="preserve">Cayenne Crunch</x:t>
  </x:si>
  <x:si>
    <x:t xml:space="preserve">Attached card gets +1 Attack.</x:t>
  </x:si>
  <x:si>
    <x:t xml:space="preserve">attack_bonus</x:t>
  </x:si>
  <x:si>
    <x:t xml:space="preserve">spice_savory_gravy</x:t>
  </x:si>
  <x:si>
    <x:t xml:space="preserve">Savory Gravy</x:t>
  </x:si>
  <x:si>
    <x:t xml:space="preserve">Attached card gets +2 Health.</x:t>
  </x:si>
  <x:si>
    <x:t xml:space="preserve">health_bonus</x:t>
  </x:si>
  <x:si>
    <x:t xml:space="preserve">spice_sugar_glaze</x:t>
  </x:si>
  <x:si>
    <x:t xml:space="preserve">Sugar Glaze</x:t>
  </x:si>
  <x:si>
    <x:t xml:space="preserve">Attached card gets +1/+1.</x:t>
  </x:si>
  <x:si>
    <x:t xml:space="preserve">attack_bonus, health_bonus</x:t>
  </x:si>
  <x:si>
    <x:t xml:space="preserve">environment_blazing_wok</x:t>
  </x:si>
  <x:si>
    <x:t xml:space="preserve">Blazing Wok</x:t>
  </x:si>
  <x:si>
    <x:t xml:space="preserve">Meals you serve enter with +1 Attack.</x:t>
  </x:si>
  <x:si>
    <x:t xml:space="preserve">meal_attack_bonus</x:t>
  </x:si>
  <x:si>
    <x:t xml:space="preserve">environment_slow_cooker</x:t>
  </x:si>
  <x:si>
    <x:t xml:space="preserve">Slow Cooker</x:t>
  </x:si>
  <x:si>
    <x:t xml:space="preserve">At the start of your turn, each of your Ingredients gets +1/+1.</x:t>
  </x:si>
  <x:si>
    <x:t xml:space="preserve">ingredient_growth</x:t>
  </x:si>
  <x:si>
    <x:t xml:space="preserve">environment_dessert_display</x:t>
  </x:si>
  <x:si>
    <x:t xml:space="preserve">Dessert Display</x:t>
  </x:si>
  <x:si>
    <x:t xml:space="preserve">Meals you serve enter with +1 Health.</x:t>
  </x:si>
  <x:si>
    <x:t xml:space="preserve">meal_health_bonus</x:t>
  </x:si>
  <x:si>
    <x:t xml:space="preserve">chef_john</x:t>
  </x:si>
  <x:si>
    <x:t xml:space="preserve">Chef John</x:t>
  </x:si>
  <x:si>
    <x:t xml:space="preserve">Discard your hand, then draw 6 cards.</x:t>
  </x:si>
  <x:si>
    <x:t xml:space="preserve">chef_bill</x:t>
  </x:si>
  <x:si>
    <x:t xml:space="preserve">Chef Bill</x:t>
  </x:si>
  <x:si>
    <x:t xml:space="preserve">Search your deck for 1 Ingredient and 1 Meal.</x:t>
  </x:si>
  <x:si>
    <x:t xml:space="preserve">chef_carl</x:t>
  </x:si>
  <x:si>
    <x:t xml:space="preserve">Chef Carl</x:t>
  </x:si>
  <x:si>
    <x:t xml:space="preserve">Return 1 Meal from your discard to your hand.</x:t>
  </x:si>
  <x:si>
    <x:t xml:space="preserve">chef_mary</x:t>
  </x:si>
  <x:si>
    <x:t xml:space="preserve">Chef Mary</x:t>
  </x:si>
  <x:si>
    <x:t xml:space="preserve">Draw 3 cards.</x:t>
  </x:si>
  <x:si>
    <x:t xml:space="preserve">Starter Deck Coverage</x:t>
  </x:si>
  <x:si>
    <x:t xml:space="preserve">One row per card entry in each implemented 30-card starter deck.</x:t>
  </x:si>
  <x:si>
    <x:t xml:space="preserve">Deck ID</x:t>
  </x:si>
  <x:si>
    <x:t xml:space="preserve">Deck Name</x:t>
  </x:si>
  <x:si>
    <x:t xml:space="preserve">Card Name</x:t>
  </x:si>
  <x:si>
    <x:t xml:space="preserve">spicy_test_kitchen</x:t>
  </x:si>
  <x:si>
    <x:t xml:space="preserve">hearty_test_kitchen</x:t>
  </x:si>
  <x:si>
    <x:t xml:space="preserve">sweet_test_kitchen</x:t>
  </x:si>
  <x:si>
    <x:t xml:space="preserve">fresh_test_kitchen</x:t>
  </x:si>
  <x:si>
    <x:t xml:space="preserve">funky_test_kitchen</x:t>
  </x:si>
</x:sst>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i/>
      <x:sz val="10"/>
      <x:color rgb="FF38546A"/>
      <x:name val="Aptos"/>
    </x:font>
    <x:font>
      <x:sz val="10"/>
      <x:color rgb="FF44515C"/>
      <x:name val="Aptos"/>
    </x:font>
    <x:font>
      <x:b/>
      <x:sz val="10"/>
      <x:color rgb="FFFFFFFF"/>
      <x:name val="Aptos"/>
    </x:font>
    <x:font>
      <x:sz val="10"/>
      <x:color rgb="FF243746"/>
      <x:name val="Aptos"/>
    </x:font>
    <x:font>
      <x:b/>
      <x:sz val="20"/>
      <x:color rgb="FFFFFFFF"/>
      <x:name val="Aptos"/>
    </x:font>
    <x:font>
      <x:sz val="11"/>
      <x:name val="Aptos"/>
    </x:font>
    <x:font>
      <x:b/>
      <x:sz val="18"/>
      <x:color rgb="FFFFFFFF"/>
      <x:name val="Aptos Display"/>
    </x:font>
    <x:font>
      <x:b/>
      <x:sz val="9"/>
      <x:color rgb="FFFFFFFF"/>
      <x:name val="Aptos"/>
    </x:font>
    <x:font>
      <x:sz val="9"/>
      <x:color rgb="FF24374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6F8FA"/>
      </x:patternFill>
    </x:fill>
    <x:fill>
      <x:patternFill patternType="solid">
        <x:fgColor rgb="FF24557A"/>
      </x:patternFill>
    </x:fill>
  </x:fills>
  <x:borders count="13">
    <x:border/>
    <x:border>
      <x:left style="thin">
        <x:color rgb="FFCAD6E2"/>
      </x:left>
      <x:top style="thin">
        <x:color rgb="FFCAD6E2"/>
      </x:top>
    </x:border>
    <x:border>
      <x:top style="thin">
        <x:color rgb="FFCAD6E2"/>
      </x:top>
    </x:border>
    <x:border>
      <x:right style="thin">
        <x:color rgb="FFCAD6E2"/>
      </x:right>
      <x:top style="thin">
        <x:color rgb="FFCAD6E2"/>
      </x:top>
    </x:border>
    <x:border>
      <x:left style="thin">
        <x:color rgb="FFCAD6E2"/>
      </x:left>
    </x:border>
    <x:border>
      <x:right style="thin">
        <x:color rgb="FFCAD6E2"/>
      </x:right>
    </x:border>
    <x:border>
      <x:left style="thin">
        <x:color rgb="FFCAD6E2"/>
      </x:left>
      <x:bottom style="thin">
        <x:color rgb="FFCAD6E2"/>
      </x:bottom>
    </x:border>
    <x:border>
      <x:bottom style="thin">
        <x:color rgb="FFCAD6E2"/>
      </x:bottom>
    </x:border>
    <x:border>
      <x:right style="thin">
        <x:color rgb="FFCAD6E2"/>
      </x:right>
      <x:bottom style="thin">
        <x:color rgb="FFCAD6E2"/>
      </x:bottom>
    </x:border>
    <x:border>
      <x:left style="thin">
        <x:color rgb="FF24557A"/>
      </x:left>
      <x:top style="thin">
        <x:color rgb="FF24557A"/>
      </x:top>
      <x:bottom style="thin">
        <x:color rgb="FF24557A"/>
      </x:bottom>
    </x:border>
    <x:border>
      <x:right style="thin">
        <x:color rgb="FF24557A"/>
      </x:right>
      <x:top style="thin">
        <x:color rgb="FF24557A"/>
      </x:top>
      <x:bottom style="thin">
        <x:color rgb="FF24557A"/>
      </x:bottom>
    </x:border>
    <x:border>
      <x:top style="thin">
        <x:color rgb="FF24557A"/>
      </x:top>
      <x:bottom style="thin">
        <x:color rgb="FF24557A"/>
      </x:bottom>
    </x:border>
    <x:border>
      <x:top style="thin">
        <x:color rgb="FFCAD6E2"/>
      </x:top>
      <x:bottom style="thin">
        <x:color rgb="FFCAD6E2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3" fillId="5" borderId="9" xfId="0" applyFont="1" applyFill="1" applyBorder="1" applyAlignment="1">
      <x:alignment vertical="center"/>
    </x:xf>
    <x:xf numFmtId="0" fontId="3" fillId="5" borderId="10" xfId="0" applyFont="1" applyFill="1" applyBorder="1" applyAlignment="1">
      <x:alignment vertical="center"/>
    </x:xf>
    <x:xf numFmtId="0" fontId="4" fillId="0" borderId="7" xfId="0" applyFont="1" applyBorder="1"/>
    <x:xf numFmtId="0" fontId="4" fillId="0" borderId="12" xfId="0" applyFont="1" applyBorder="1"/>
    <x:xf numFmtId="3" fontId="4" fillId="0" borderId="7" xfId="0" applyNumberFormat="1" applyFont="1" applyBorder="1"/>
    <x:xf numFmtId="3" fontId="4" fillId="0" borderId="12" xfId="0" applyNumberFormat="1" applyFont="1" applyBorder="1"/>
    <x:xf numFmtId="3" fontId="3" fillId="5" borderId="10" xfId="0" applyNumberFormat="1" applyFont="1" applyFill="1" applyBorder="1" applyAlignment="1">
      <x:alignment vertical="center"/>
    </x:xf>
    <x:xf numFmtId="0" fontId="6" fillId="0" borderId="0" xfId="0" applyFont="1"/>
    <x:xf numFmtId="3" fontId="6" fillId="0" borderId="0" xfId="0" applyNumberFormat="1" applyFont="1"/>
    <x:xf numFmtId="0" fontId="8" fillId="5" borderId="0" xfId="0" applyFont="1" applyFill="1"/>
    <x:xf numFmtId="0" fontId="8" fillId="5" borderId="0" xfId="0" applyFont="1" applyFill="1" applyAlignment="1">
      <x:alignment vertical="center" wrapText="1"/>
    </x:xf>
    <x:xf numFmtId="0" fontId="9" fillId="0" borderId="0" xfId="0" applyFont="1"/>
    <x:xf numFmtId="1" fontId="9" fillId="0" borderId="0" xfId="0" applyNumberFormat="1" applyFont="1" applyAlignment="1">
      <x:alignment horizontal="center"/>
    </x:xf>
    <x:xf numFmtId="0" fontId="9" fillId="0" borderId="0" xfId="0" applyFont="1" applyAlignment="1">
      <x:alignment horizontal="center"/>
    </x:xf>
    <x:xf numFmtId="0" fontId="9" fillId="0" borderId="0" xfId="0" applyFont="1" applyAlignment="1">
      <x:alignment vertical="top" wrapText="1"/>
    </x:xf>
    <x:xf numFmtId="0" fontId="5" fillId="2" borderId="0" xfId="0" applyFont="1" applyFill="1" applyAlignment="1">
      <x:alignment vertical="center"/>
    </x:xf>
    <x:xf numFmtId="0" fontId="1" fillId="3" borderId="0" xfId="0" applyFont="1" applyFill="1" applyAlignment="1">
      <x:alignment vertical="center"/>
    </x:xf>
    <x:xf numFmtId="0" fontId="3" fillId="5" borderId="9" xfId="0" applyFont="1" applyFill="1" applyBorder="1" applyAlignment="1">
      <x:alignment vertical="center"/>
    </x:xf>
    <x:xf numFmtId="0" fontId="3" fillId="5" borderId="11" xfId="0" applyFont="1" applyFill="1" applyBorder="1" applyAlignment="1">
      <x:alignment vertical="center"/>
    </x:xf>
    <x:xf numFmtId="0" fontId="3" fillId="5" borderId="10" xfId="0" applyFont="1" applyFill="1" applyBorder="1" applyAlignment="1">
      <x:alignment vertical="center"/>
    </x:xf>
    <x:xf numFmtId="0" fontId="2" fillId="4" borderId="1" xfId="0" applyFont="1" applyFill="1" applyBorder="1" applyAlignment="1">
      <x:alignment vertical="top" wrapText="1"/>
    </x:xf>
    <x:xf numFmtId="0" fontId="2" fillId="4" borderId="2" xfId="0" applyFont="1" applyFill="1" applyBorder="1" applyAlignment="1">
      <x:alignment vertical="top" wrapText="1"/>
    </x:xf>
    <x:xf numFmtId="0" fontId="2" fillId="4" borderId="3" xfId="0" applyFont="1" applyFill="1" applyBorder="1" applyAlignment="1">
      <x:alignment vertical="top" wrapText="1"/>
    </x:xf>
    <x:xf numFmtId="0" fontId="2" fillId="4" borderId="4" xfId="0" applyFont="1" applyFill="1" applyBorder="1" applyAlignment="1">
      <x:alignment vertical="top" wrapText="1"/>
    </x:xf>
    <x:xf numFmtId="0" fontId="2" fillId="4" borderId="0" xfId="0" applyFont="1" applyFill="1" applyAlignment="1">
      <x:alignment vertical="top" wrapText="1"/>
    </x:xf>
    <x:xf numFmtId="0" fontId="2" fillId="4" borderId="5" xfId="0" applyFont="1" applyFill="1" applyBorder="1" applyAlignment="1">
      <x:alignment vertical="top" wrapText="1"/>
    </x:xf>
    <x:xf numFmtId="0" fontId="2" fillId="4" borderId="6" xfId="0" applyFont="1" applyFill="1" applyBorder="1" applyAlignment="1">
      <x:alignment vertical="top" wrapText="1"/>
    </x:xf>
    <x:xf numFmtId="0" fontId="2" fillId="4" borderId="7" xfId="0" applyFont="1" applyFill="1" applyBorder="1" applyAlignment="1">
      <x:alignment vertical="top" wrapText="1"/>
    </x:xf>
    <x:xf numFmtId="0" fontId="2" fillId="4" borderId="8" xfId="0" applyFont="1" applyFill="1" applyBorder="1" applyAlignment="1">
      <x:alignment vertical="top" wrapText="1"/>
    </x:xf>
    <x:xf numFmtId="0" fontId="7" fillId="2" borderId="0" xfId="0" applyFont="1" applyFill="1" applyAlignment="1">
      <x:alignment vertical="center"/>
    </x:xf>
    <x:xf numFmtId="0" fontId="1" fillId="3" borderId="0" xfId="0" applyFont="1" applyFill="1"/>
  </x:cellXfs>
  <x:cellStyles count="1">
    <x:cellStyle name="Normal" xfId="0"/>
  </x:cellStyles>
  <x:dxfs count="7">
    <x:dxf>
      <x:font>
        <x:b/>
        <x:color rgb="FF55408C"/>
      </x:font>
      <x:fill>
        <x:patternFill>
          <x:bgColor rgb="FFEEE9FA"/>
        </x:patternFill>
      </x:fill>
    </x:dxf>
    <x:dxf>
      <x:font>
        <x:b/>
        <x:color rgb="FF76551B"/>
      </x:font>
      <x:fill>
        <x:patternFill>
          <x:bgColor rgb="FFFFF4D6"/>
        </x:patternFill>
      </x:fill>
    </x:dxf>
    <x:dxf>
      <x:font>
        <x:color rgb="FF55408C"/>
      </x:font>
      <x:fill>
        <x:patternFill>
          <x:bgColor rgb="FFEEE9FA"/>
        </x:patternFill>
      </x:fill>
    </x:dxf>
    <x:dxf>
      <x:font>
        <x:color rgb="FF2F7040"/>
      </x:font>
      <x:fill>
        <x:patternFill>
          <x:bgColor rgb="FFE7F4EA"/>
        </x:patternFill>
      </x:fill>
    </x:dxf>
    <x:dxf>
      <x:font>
        <x:color rgb="FF9C376F"/>
      </x:font>
      <x:fill>
        <x:patternFill>
          <x:bgColor rgb="FFFCE8F1"/>
        </x:patternFill>
      </x:fill>
    </x:dxf>
    <x:dxf>
      <x:font>
        <x:color rgb="FF76551B"/>
      </x:font>
      <x:fill>
        <x:patternFill>
          <x:bgColor rgb="FFFFF4D6"/>
        </x:patternFill>
      </x:fill>
    </x:dxf>
    <x:dxf>
      <x:font>
        <x:color rgb="FFA33B1F"/>
      </x:font>
      <x:fill>
        <x:patternFill>
          <x:bgColor rgb="FFFCE8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f42d82ebc7423a" /><Relationship Type="http://schemas.openxmlformats.org/officeDocument/2006/relationships/theme" Target="/xl/theme/theme1.xml" Id="R0fd210930ac1477a" /><Relationship Type="http://schemas.openxmlformats.org/officeDocument/2006/relationships/sharedStrings" Target="/xl/sharedStrings.xml" Id="Ra7278e59da5a483f" /><Relationship Type="http://schemas.openxmlformats.org/officeDocument/2006/relationships/worksheet" Target="/xl/worksheets/sheet1.xml" Id="Raa31f002e9d1465c" /><Relationship Type="http://schemas.openxmlformats.org/officeDocument/2006/relationships/worksheet" Target="/xl/worksheets/sheet2.xml" Id="R6768309254824a9a" /><Relationship Type="http://schemas.openxmlformats.org/officeDocument/2006/relationships/worksheet" Target="/xl/worksheets/sheet3.xml" Id="R8052fa25b93748aa" /></Relationships>
</file>

<file path=xl/tables/table1.xml><?xml version="1.0" encoding="utf-8"?>
<x:table xmlns:x="http://schemas.openxmlformats.org/spreadsheetml/2006/main" id="1" name="ImplementedCardsTable" displayName="ImplementedCardsTable" ref="A4:T92" totalsRowShown="0">
  <x:autoFilter ref="A4:T92"/>
  <x:tableColumns count="20">
    <x:tableColumn id="1" name="#"/>
    <x:tableColumn id="2" name="Card ID"/>
    <x:tableColumn id="3" name="Name"/>
    <x:tableColumn id="4" name="Subtitle"/>
    <x:tableColumn id="5" name="Card Type"/>
    <x:tableColumn id="6" name="Archetype"/>
    <x:tableColumn id="7" name="Rare Flag"/>
    <x:tableColumn id="8" name="Campaign Rarity"/>
    <x:tableColumn id="9" name="Attack"/>
    <x:tableColumn id="10" name="Health"/>
    <x:tableColumn id="11" name="Recipe / Ingredient Types"/>
    <x:tableColumn id="12" name="Recipe Cost"/>
    <x:tableColumn id="13" name="Discard Cost"/>
    <x:tableColumn id="14" name="Runtime Cost"/>
    <x:tableColumn id="15" name="Keywords"/>
    <x:tableColumn id="16" name="Rules Text"/>
    <x:tableColumn id="17" name="Implementation Hooks"/>
    <x:tableColumn id="18" name="Starter Decks"/>
    <x:tableColumn id="19" name="Starter Copies"/>
    <x:tableColumn id="20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rterDeckEntriesTable" displayName="StarterDeckEntriesTable" ref="A4:G75" totalsRowShown="0">
  <x:autoFilter ref="A4:G75"/>
  <x:tableColumns count="7">
    <x:tableColumn id="1" name="Deck ID"/>
    <x:tableColumn id="2" name="Deck Name"/>
    <x:tableColumn id="3" name="Archetype"/>
    <x:tableColumn id="4" name="Card ID"/>
    <x:tableColumn id="5" name="Card Name"/>
    <x:tableColumn id="6" name="Card Type"/>
    <x:tableColumn id="7" name="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695acf4d9b4e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a00c4322054a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4" customWidth="1"/>
    <x:col min="2" max="2" width="12" customWidth="1"/>
    <x:col min="3" max="3" width="3" customWidth="1"/>
    <x:col min="4" max="4" width="24" customWidth="1"/>
    <x:col min="5" max="5" width="12" customWidth="1"/>
    <x:col min="6" max="6" width="3" customWidth="1"/>
    <x:col min="7" max="7" width="18" customWidth="1"/>
    <x:col min="8" max="8" width="12" customWidth="1"/>
  </x:cols>
  <x:sheetData>
    <x:row r="1" ht="34" customHeight="1">
      <x:c r="A1" s="16" t="str">
        <x:v>TOP CUT: Locals to Worlds — Implemented Card Catalog</x:v>
      </x:c>
      <x:c r="B1" s="16"/>
      <x:c r="C1" s="16"/>
      <x:c r="D1" s="16"/>
      <x:c r="E1" s="16"/>
      <x:c r="F1" s="16"/>
      <x:c r="G1" s="16"/>
      <x:c r="H1" s="16"/>
    </x:row>
    <x:row r="2" ht="24" customHeight="1">
      <x:c r="A2" s="17" t="s">
        <x:v>0</x:v>
      </x:c>
      <x:c r="B2" s="17"/>
      <x:c r="C2" s="17"/>
      <x:c r="D2" s="17"/>
      <x:c r="E2" s="17"/>
      <x:c r="F2" s="17"/>
      <x:c r="G2" s="17"/>
      <x:c r="H2" s="17"/>
    </x:row>
    <x:row r="3" ht="15">
      <x:c r="A3" s="8"/>
      <x:c r="B3" s="8"/>
      <x:c r="C3" s="8"/>
      <x:c r="D3" s="8"/>
      <x:c r="E3" s="8"/>
      <x:c r="F3" s="8"/>
      <x:c r="G3" s="8"/>
      <x:c r="H3" s="8"/>
    </x:row>
    <x:row r="4" ht="15">
      <x:c r="A4" s="1" t="s">
        <x:v>1</x:v>
      </x:c>
      <x:c r="B4" s="2" t="s">
        <x:v>2</x:v>
      </x:c>
      <x:c r="C4" s="8"/>
      <x:c r="D4" s="1" t="s">
        <x:v>3</x:v>
      </x:c>
      <x:c r="E4" s="2" t="s">
        <x:v>2</x:v>
      </x:c>
      <x:c r="F4" s="8"/>
      <x:c r="G4" s="1" t="s">
        <x:v>4</x:v>
      </x:c>
      <x:c r="H4" s="2" t="s">
        <x:v>2</x:v>
      </x:c>
    </x:row>
    <x:row r="5" ht="15">
      <x:c r="A5" s="3" t="s">
        <x:v>5</x:v>
      </x:c>
      <x:c r="B5" s="5" t="n">
        <x:f>COUNTA(Cards!$B$5:$B$92)</x:f>
        <x:v>88</x:v>
      </x:c>
      <x:c r="C5" s="8"/>
      <x:c r="D5" s="3" t="s">
        <x:v>6</x:v>
      </x:c>
      <x:c r="E5" s="5" t="n">
        <x:f>COUNTIF(Cards!$E$5:$E$92,D5)</x:f>
        <x:v>36</x:v>
      </x:c>
      <x:c r="F5" s="8"/>
      <x:c r="G5" s="3" t="s">
        <x:v>7</x:v>
      </x:c>
      <x:c r="H5" s="5" t="n">
        <x:f>COUNTIF(Cards!$H$5:$H$92,G5)</x:f>
        <x:v>35</x:v>
      </x:c>
    </x:row>
    <x:row r="6" ht="15">
      <x:c r="A6" s="4" t="s">
        <x:v>8</x:v>
      </x:c>
      <x:c r="B6" s="6" t="n">
        <x:f>COUNTIF(Cards!$S$5:$S$92,"&gt;0")</x:f>
        <x:v>50</x:v>
      </x:c>
      <x:c r="C6" s="8"/>
      <x:c r="D6" s="4" t="s">
        <x:v>9</x:v>
      </x:c>
      <x:c r="E6" s="6" t="n">
        <x:f>COUNTIF(Cards!$E$5:$E$92,D6)</x:f>
        <x:v>28</x:v>
      </x:c>
      <x:c r="F6" s="8"/>
      <x:c r="G6" s="4" t="s">
        <x:v>10</x:v>
      </x:c>
      <x:c r="H6" s="6" t="n">
        <x:f>COUNTIF(Cards!$H$5:$H$92,G6)</x:f>
        <x:v>17</x:v>
      </x:c>
    </x:row>
    <x:row r="7" ht="15">
      <x:c r="A7" s="4" t="s">
        <x:v>11</x:v>
      </x:c>
      <x:c r="B7" s="6" t="n">
        <x:f>B5-B6</x:f>
        <x:v>38</x:v>
      </x:c>
      <x:c r="C7" s="8"/>
      <x:c r="D7" s="4" t="s">
        <x:v>12</x:v>
      </x:c>
      <x:c r="E7" s="6" t="n">
        <x:f>COUNTIF(Cards!$E$5:$E$92,D7)</x:f>
        <x:v>14</x:v>
      </x:c>
      <x:c r="F7" s="8"/>
      <x:c r="G7" s="4" t="s">
        <x:v>13</x:v>
      </x:c>
      <x:c r="H7" s="6" t="n">
        <x:f>COUNTIF(Cards!$H$5:$H$92,G7)</x:f>
        <x:v>32</x:v>
      </x:c>
    </x:row>
    <x:row r="8" ht="15">
      <x:c r="A8" s="8"/>
      <x:c r="B8" s="9"/>
      <x:c r="C8" s="8"/>
      <x:c r="D8" s="4" t="s">
        <x:v>14</x:v>
      </x:c>
      <x:c r="E8" s="6" t="n">
        <x:f>COUNTIF(Cards!$E$5:$E$92,D8)</x:f>
        <x:v>3</x:v>
      </x:c>
      <x:c r="F8" s="8"/>
      <x:c r="G8" s="4" t="s">
        <x:v>15</x:v>
      </x:c>
      <x:c r="H8" s="6" t="n">
        <x:f>COUNTIF(Cards!$H$5:$H$92,G8)</x:f>
        <x:v>4</x:v>
      </x:c>
    </x:row>
    <x:row r="9" ht="15">
      <x:c r="A9" s="8"/>
      <x:c r="B9" s="9"/>
      <x:c r="C9" s="8"/>
      <x:c r="D9" s="4" t="s">
        <x:v>16</x:v>
      </x:c>
      <x:c r="E9" s="6" t="n">
        <x:f>COUNTIF(Cards!$E$5:$E$92,D9)</x:f>
        <x:v>3</x:v>
      </x:c>
      <x:c r="F9" s="8"/>
      <x:c r="G9" s="8"/>
      <x:c r="H9" s="8"/>
    </x:row>
    <x:row r="10" ht="15">
      <x:c r="A10" s="8"/>
      <x:c r="B10" s="9"/>
      <x:c r="C10" s="8"/>
      <x:c r="D10" s="4" t="s">
        <x:v>17</x:v>
      </x:c>
      <x:c r="E10" s="6" t="n">
        <x:f>COUNTIF(Cards!$E$5:$E$92,D10)</x:f>
        <x:v>4</x:v>
      </x:c>
      <x:c r="F10" s="8"/>
      <x:c r="G10" s="8"/>
      <x:c r="H10" s="8"/>
    </x:row>
    <x:row r="11" ht="15">
      <x:c r="A11" s="8"/>
      <x:c r="B11" s="9"/>
      <x:c r="C11" s="8"/>
      <x:c r="D11" s="8"/>
      <x:c r="E11" s="9"/>
      <x:c r="F11" s="8"/>
      <x:c r="G11" s="8"/>
      <x:c r="H11" s="8"/>
    </x:row>
    <x:row r="12" ht="15">
      <x:c r="A12" s="1" t="s">
        <x:v>18</x:v>
      </x:c>
      <x:c r="B12" s="7" t="s">
        <x:v>2</x:v>
      </x:c>
      <x:c r="C12" s="8"/>
      <x:c r="D12" s="1" t="s">
        <x:v>19</x:v>
      </x:c>
      <x:c r="E12" s="7" t="s">
        <x:v>20</x:v>
      </x:c>
      <x:c r="F12" s="8"/>
      <x:c r="G12" s="8"/>
      <x:c r="H12" s="8"/>
    </x:row>
    <x:row r="13" ht="15">
      <x:c r="A13" s="3" t="s">
        <x:v>21</x:v>
      </x:c>
      <x:c r="B13" s="5" t="n">
        <x:f>COUNTIF(Cards!$F$5:$F$92,A13)</x:f>
        <x:v>18</x:v>
      </x:c>
      <x:c r="C13" s="8"/>
      <x:c r="D13" s="3" t="s">
        <x:v>22</x:v>
      </x:c>
      <x:c r="E13" s="5" t="n">
        <x:f>SUMIF('Starter Decks'!$B$5:$B$79,D13,'Starter Decks'!$G$5:$G$79)</x:f>
        <x:v>30</x:v>
      </x:c>
      <x:c r="F13" s="8"/>
      <x:c r="G13" s="8"/>
      <x:c r="H13" s="8"/>
    </x:row>
    <x:row r="14" ht="15">
      <x:c r="A14" s="4" t="s">
        <x:v>23</x:v>
      </x:c>
      <x:c r="B14" s="6" t="n">
        <x:f>COUNTIF(Cards!$F$5:$F$92,A14)</x:f>
        <x:v>18</x:v>
      </x:c>
      <x:c r="C14" s="8"/>
      <x:c r="D14" s="4" t="s">
        <x:v>24</x:v>
      </x:c>
      <x:c r="E14" s="6" t="n">
        <x:f>SUMIF('Starter Decks'!$B$5:$B$79,D14,'Starter Decks'!$G$5:$G$79)</x:f>
        <x:v>30</x:v>
      </x:c>
      <x:c r="F14" s="8"/>
      <x:c r="G14" s="8"/>
      <x:c r="H14" s="8"/>
    </x:row>
    <x:row r="15" ht="15">
      <x:c r="A15" s="4" t="s">
        <x:v>25</x:v>
      </x:c>
      <x:c r="B15" s="6" t="n">
        <x:f>COUNTIF(Cards!$F$5:$F$92,A15)</x:f>
        <x:v>19</x:v>
      </x:c>
      <x:c r="C15" s="8"/>
      <x:c r="D15" s="4" t="s">
        <x:v>26</x:v>
      </x:c>
      <x:c r="E15" s="6" t="n">
        <x:f>SUMIF('Starter Decks'!$B$5:$B$79,D15,'Starter Decks'!$G$5:$G$79)</x:f>
        <x:v>30</x:v>
      </x:c>
      <x:c r="F15" s="8"/>
      <x:c r="G15" s="8"/>
      <x:c r="H15" s="8"/>
    </x:row>
    <x:row r="16" ht="15">
      <x:c r="A16" s="4" t="s">
        <x:v>27</x:v>
      </x:c>
      <x:c r="B16" s="6" t="n">
        <x:f>COUNTIF(Cards!$F$5:$F$92,A16)</x:f>
        <x:v>7</x:v>
      </x:c>
      <x:c r="C16" s="8"/>
      <x:c r="D16" s="4" t="s">
        <x:v>28</x:v>
      </x:c>
      <x:c r="E16" s="6" t="n">
        <x:f>SUMIF('Starter Decks'!$B$5:$B$79,D16,'Starter Decks'!$G$5:$G$79)</x:f>
        <x:v>30</x:v>
      </x:c>
      <x:c r="F16" s="8"/>
      <x:c r="G16" s="8"/>
      <x:c r="H16" s="8"/>
    </x:row>
    <x:row r="17" ht="15">
      <x:c r="A17" s="4" t="s">
        <x:v>29</x:v>
      </x:c>
      <x:c r="B17" s="6" t="n">
        <x:f>COUNTIF(Cards!$F$5:$F$92,A17)</x:f>
        <x:v>8</x:v>
      </x:c>
      <x:c r="C17" s="8"/>
      <x:c r="D17" s="4" t="s">
        <x:v>30</x:v>
      </x:c>
      <x:c r="E17" s="6" t="n">
        <x:f>SUMIF('Starter Decks'!$B$5:$B$79,D17,'Starter Decks'!$G$5:$G$79)</x:f>
        <x:v>30</x:v>
      </x:c>
      <x:c r="F17" s="8"/>
      <x:c r="G17" s="8"/>
      <x:c r="H17" s="8"/>
    </x:row>
    <x:row r="18" ht="15">
      <x:c r="A18" s="4" t="s">
        <x:v>31</x:v>
      </x:c>
      <x:c r="B18" s="6" t="n">
        <x:f>COUNTIF(Cards!$F$5:$F$92,A18)</x:f>
        <x:v>18</x:v>
      </x:c>
      <x:c r="C18" s="8"/>
      <x:c r="D18" s="8"/>
      <x:c r="E18" s="8"/>
      <x:c r="F18" s="8"/>
      <x:c r="G18" s="8"/>
      <x:c r="H18" s="8"/>
    </x:row>
    <x:row r="19" ht="15">
      <x:c r="A19" s="8"/>
      <x:c r="B19" s="8"/>
      <x:c r="C19" s="8"/>
      <x:c r="D19" s="8"/>
      <x:c r="E19" s="8"/>
      <x:c r="F19" s="8"/>
      <x:c r="G19" s="8"/>
      <x:c r="H19" s="8"/>
    </x:row>
    <x:row r="20" ht="15">
      <x:c r="A20" s="8"/>
      <x:c r="B20" s="8"/>
      <x:c r="C20" s="8"/>
      <x:c r="D20" s="18" t="s">
        <x:v>32</x:v>
      </x:c>
      <x:c r="E20" s="19"/>
      <x:c r="F20" s="19"/>
      <x:c r="G20" s="19"/>
      <x:c r="H20" s="20"/>
    </x:row>
    <x:row r="21" ht="15">
      <x:c r="A21" s="8"/>
      <x:c r="B21" s="8"/>
      <x:c r="C21" s="8"/>
      <x:c r="D21" s="21" t="s">
        <x:v>33</x:v>
      </x:c>
      <x:c r="E21" s="22"/>
      <x:c r="F21" s="22"/>
      <x:c r="G21" s="22"/>
      <x:c r="H21" s="23"/>
    </x:row>
    <x:row r="22" ht="15">
      <x:c r="A22" s="8"/>
      <x:c r="B22" s="8"/>
      <x:c r="C22" s="8"/>
      <x:c r="D22" s="24"/>
      <x:c r="E22" s="25"/>
      <x:c r="F22" s="25"/>
      <x:c r="G22" s="25"/>
      <x:c r="H22" s="26"/>
    </x:row>
    <x:row r="23" ht="15">
      <x:c r="A23" s="8"/>
      <x:c r="B23" s="8"/>
      <x:c r="C23" s="8"/>
      <x:c r="D23" s="27"/>
      <x:c r="E23" s="28"/>
      <x:c r="F23" s="28"/>
      <x:c r="G23" s="28"/>
      <x:c r="H23" s="29"/>
    </x:row>
  </x:sheetData>
  <x:mergeCells>
    <x:mergeCell ref="A1:H1"/>
    <x:mergeCell ref="A2:H2"/>
    <x:mergeCell ref="D20:H20"/>
    <x:mergeCell ref="D21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5" customWidth="1"/>
    <x:col min="2" max="2" width="31" customWidth="1"/>
    <x:col min="3" max="3" width="26" customWidth="1"/>
    <x:col min="4" max="4" width="24" customWidth="1"/>
    <x:col min="5" max="6" width="13" customWidth="1"/>
    <x:col min="7" max="7" width="10" customWidth="1"/>
    <x:col min="8" max="8" width="17" customWidth="1"/>
    <x:col min="9" max="10" width="8" customWidth="1"/>
    <x:col min="11" max="11" width="24" customWidth="1"/>
    <x:col min="12" max="12" width="11" customWidth="1"/>
    <x:col min="13" max="14" width="12" customWidth="1"/>
    <x:col min="15" max="15" width="20" customWidth="1"/>
    <x:col min="16" max="16" width="58" customWidth="1"/>
    <x:col min="17" max="17" width="31" customWidth="1"/>
    <x:col min="18" max="18" width="34" customWidth="1"/>
    <x:col min="19" max="19" width="12" customWidth="1"/>
    <x:col min="20" max="20" width="18" customWidth="1"/>
  </x:cols>
  <x:sheetData>
    <x:row r="1" ht="32" customHeight="1">
      <x:c r="A1" s="30" t="s">
        <x:v>34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</x:row>
    <x:row r="2" ht="15">
      <x:c r="A2" s="31" t="s">
        <x:v>35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</x:row>
    <x:row r="4" ht="32" customHeight="1">
      <x:c r="A4" s="11" t="s">
        <x:v>36</x:v>
      </x:c>
      <x:c r="B4" s="11" t="s">
        <x:v>37</x:v>
      </x:c>
      <x:c r="C4" s="11" t="s">
        <x:v>38</x:v>
      </x:c>
      <x:c r="D4" s="11" t="s">
        <x:v>39</x:v>
      </x:c>
      <x:c r="E4" s="11" t="s">
        <x:v>3</x:v>
      </x:c>
      <x:c r="F4" s="11" t="s">
        <x:v>18</x:v>
      </x:c>
      <x:c r="G4" s="11" t="s">
        <x:v>40</x:v>
      </x:c>
      <x:c r="H4" s="11" t="s">
        <x:v>41</x:v>
      </x:c>
      <x:c r="I4" s="11" t="s">
        <x:v>42</x:v>
      </x:c>
      <x:c r="J4" s="11" t="s">
        <x:v>43</x:v>
      </x:c>
      <x:c r="K4" s="11" t="s">
        <x:v>44</x:v>
      </x:c>
      <x:c r="L4" s="11" t="s">
        <x:v>45</x:v>
      </x:c>
      <x:c r="M4" s="11" t="s">
        <x:v>46</x:v>
      </x:c>
      <x:c r="N4" s="11" t="s">
        <x:v>47</x:v>
      </x:c>
      <x:c r="O4" s="11" t="s">
        <x:v>48</x:v>
      </x:c>
      <x:c r="P4" s="11" t="s">
        <x:v>49</x:v>
      </x:c>
      <x:c r="Q4" s="11" t="s">
        <x:v>50</x:v>
      </x:c>
      <x:c r="R4" s="11" t="s">
        <x:v>51</x:v>
      </x:c>
      <x:c r="S4" s="11" t="s">
        <x:v>52</x:v>
      </x:c>
      <x:c r="T4" s="11" t="s">
        <x:v>53</x:v>
      </x:c>
    </x:row>
    <x:row r="5" ht="30" customHeight="1">
      <x:c r="A5" s="13">
        <x:v>1</x:v>
      </x:c>
      <x:c r="B5" s="12" t="s">
        <x:v>54</x:v>
      </x:c>
      <x:c r="C5" s="12" t="s">
        <x:v>55</x:v>
      </x:c>
      <x:c r="D5" s="12" t="s">
        <x:v>56</x:v>
      </x:c>
      <x:c r="E5" s="12" t="s">
        <x:v>9</x:v>
      </x:c>
      <x:c r="F5" s="12" t="s">
        <x:v>21</x:v>
      </x:c>
      <x:c r="G5" s="14" t="s">
        <x:v>57</x:v>
      </x:c>
      <x:c r="H5" s="14" t="str">
        <x:f t="shared" ref="H5:H36" si="0">IF(E5="Chef","Mythic",IF(G5="Yes","Rare",IF(OR(E5="Meal",E5="Spice",E5="Environment"),"Uncommon","Common")))</x:f>
        <x:v>Uncommon</x:v>
      </x:c>
      <x:c r="I5" s="13">
        <x:v>5</x:v>
      </x:c>
      <x:c r="J5" s="13">
        <x:v>4</x:v>
      </x:c>
      <x:c r="K5" s="12" t="s">
        <x:v>21</x:v>
      </x:c>
      <x:c r="L5" s="13">
        <x:v>1</x:v>
      </x:c>
      <x:c r="M5" s="13">
        <x:v>0</x:v>
      </x:c>
      <x:c r="N5" s="13" t="n">
        <x:f t="shared" ref="N5:N36" si="1">IF(E5="Meal",L5,M5)</x:f>
        <x:v>1</x:v>
      </x:c>
      <x:c r="O5" s="12"/>
      <x:c r="P5" s="15"/>
      <x:c r="Q5" s="15"/>
      <x:c r="R5" s="15" t="s">
        <x:v>22</x:v>
      </x:c>
      <x:c r="S5" s="13">
        <x:v>2</x:v>
      </x:c>
      <x:c r="T5" s="12" t="s">
        <x:v>58</x:v>
      </x:c>
    </x:row>
    <x:row r="6" ht="30" customHeight="1">
      <x:c r="A6" s="13">
        <x:v>2</x:v>
      </x:c>
      <x:c r="B6" s="12" t="s">
        <x:v>59</x:v>
      </x:c>
      <x:c r="C6" s="12" t="s">
        <x:v>60</x:v>
      </x:c>
      <x:c r="D6" s="12"/>
      <x:c r="E6" s="12" t="s">
        <x:v>9</x:v>
      </x:c>
      <x:c r="F6" s="12" t="s">
        <x:v>21</x:v>
      </x:c>
      <x:c r="G6" s="14" t="s">
        <x:v>57</x:v>
      </x:c>
      <x:c r="H6" s="14" t="str">
        <x:f t="shared" si="0"/>
        <x:v>Uncommon</x:v>
      </x:c>
      <x:c r="I6" s="13">
        <x:v>7</x:v>
      </x:c>
      <x:c r="J6" s="13">
        <x:v>5</x:v>
      </x:c>
      <x:c r="K6" s="12" t="s">
        <x:v>61</x:v>
      </x:c>
      <x:c r="L6" s="13">
        <x:v>2</x:v>
      </x:c>
      <x:c r="M6" s="13">
        <x:v>0</x:v>
      </x:c>
      <x:c r="N6" s="13">
        <x:f t="shared" si="1"/>
        <x:v>2</x:v>
      </x:c>
      <x:c r="O6" s="12"/>
      <x:c r="P6" s="15" t="s">
        <x:v>62</x:v>
      </x:c>
      <x:c r="Q6" s="15" t="s">
        <x:v>63</x:v>
      </x:c>
      <x:c r="R6" s="15" t="s">
        <x:v>22</x:v>
      </x:c>
      <x:c r="S6" s="13">
        <x:v>2</x:v>
      </x:c>
      <x:c r="T6" s="12" t="s">
        <x:v>58</x:v>
      </x:c>
    </x:row>
    <x:row r="7" ht="30" customHeight="1">
      <x:c r="A7" s="13">
        <x:v>3</x:v>
      </x:c>
      <x:c r="B7" s="12" t="s">
        <x:v>64</x:v>
      </x:c>
      <x:c r="C7" s="12" t="s">
        <x:v>65</x:v>
      </x:c>
      <x:c r="D7" s="12"/>
      <x:c r="E7" s="12" t="s">
        <x:v>9</x:v>
      </x:c>
      <x:c r="F7" s="12" t="s">
        <x:v>21</x:v>
      </x:c>
      <x:c r="G7" s="14" t="s">
        <x:v>66</x:v>
      </x:c>
      <x:c r="H7" s="14" t="str">
        <x:f t="shared" si="0"/>
        <x:v>Rare</x:v>
      </x:c>
      <x:c r="I7" s="13">
        <x:v>3</x:v>
      </x:c>
      <x:c r="J7" s="13">
        <x:v>3</x:v>
      </x:c>
      <x:c r="K7" s="12" t="s">
        <x:v>21</x:v>
      </x:c>
      <x:c r="L7" s="13">
        <x:v>1</x:v>
      </x:c>
      <x:c r="M7" s="13">
        <x:v>0</x:v>
      </x:c>
      <x:c r="N7" s="13">
        <x:f t="shared" si="1"/>
        <x:v>1</x:v>
      </x:c>
      <x:c r="O7" s="12"/>
      <x:c r="P7" s="15" t="s">
        <x:v>67</x:v>
      </x:c>
      <x:c r="Q7" s="15" t="s">
        <x:v>68</x:v>
      </x:c>
      <x:c r="R7" s="15"/>
      <x:c r="S7" s="13">
        <x:v>0</x:v>
      </x:c>
      <x:c r="T7" s="12" t="s">
        <x:v>58</x:v>
      </x:c>
    </x:row>
    <x:row r="8" ht="30" customHeight="1">
      <x:c r="A8" s="13">
        <x:v>4</x:v>
      </x:c>
      <x:c r="B8" s="12" t="s">
        <x:v>69</x:v>
      </x:c>
      <x:c r="C8" s="12" t="s">
        <x:v>70</x:v>
      </x:c>
      <x:c r="D8" s="12"/>
      <x:c r="E8" s="12" t="s">
        <x:v>9</x:v>
      </x:c>
      <x:c r="F8" s="12" t="s">
        <x:v>21</x:v>
      </x:c>
      <x:c r="G8" s="14" t="s">
        <x:v>66</x:v>
      </x:c>
      <x:c r="H8" s="14" t="str">
        <x:f t="shared" si="0"/>
        <x:v>Rare</x:v>
      </x:c>
      <x:c r="I8" s="13">
        <x:v>6</x:v>
      </x:c>
      <x:c r="J8" s="13">
        <x:v>6</x:v>
      </x:c>
      <x:c r="K8" s="12" t="s">
        <x:v>61</x:v>
      </x:c>
      <x:c r="L8" s="13">
        <x:v>2</x:v>
      </x:c>
      <x:c r="M8" s="13">
        <x:v>0</x:v>
      </x:c>
      <x:c r="N8" s="13">
        <x:f t="shared" si="1"/>
        <x:v>2</x:v>
      </x:c>
      <x:c r="O8" s="12"/>
      <x:c r="P8" s="15" t="s">
        <x:v>71</x:v>
      </x:c>
      <x:c r="Q8" s="15" t="s">
        <x:v>72</x:v>
      </x:c>
      <x:c r="R8" s="15"/>
      <x:c r="S8" s="13">
        <x:v>0</x:v>
      </x:c>
      <x:c r="T8" s="12" t="s">
        <x:v>58</x:v>
      </x:c>
    </x:row>
    <x:row r="9" ht="30" customHeight="1">
      <x:c r="A9" s="13">
        <x:v>5</x:v>
      </x:c>
      <x:c r="B9" s="12" t="s">
        <x:v>73</x:v>
      </x:c>
      <x:c r="C9" s="12" t="s">
        <x:v>74</x:v>
      </x:c>
      <x:c r="D9" s="12" t="s">
        <x:v>75</x:v>
      </x:c>
      <x:c r="E9" s="12" t="s">
        <x:v>9</x:v>
      </x:c>
      <x:c r="F9" s="12" t="s">
        <x:v>21</x:v>
      </x:c>
      <x:c r="G9" s="14" t="s">
        <x:v>66</x:v>
      </x:c>
      <x:c r="H9" s="14" t="str">
        <x:f t="shared" si="0"/>
        <x:v>Rare</x:v>
      </x:c>
      <x:c r="I9" s="13">
        <x:v>9</x:v>
      </x:c>
      <x:c r="J9" s="13">
        <x:v>6</x:v>
      </x:c>
      <x:c r="K9" s="12" t="s">
        <x:v>76</x:v>
      </x:c>
      <x:c r="L9" s="13">
        <x:v>3</x:v>
      </x:c>
      <x:c r="M9" s="13">
        <x:v>0</x:v>
      </x:c>
      <x:c r="N9" s="13">
        <x:f t="shared" si="1"/>
        <x:v>3</x:v>
      </x:c>
      <x:c r="O9" s="12"/>
      <x:c r="P9" s="15" t="s">
        <x:v>77</x:v>
      </x:c>
      <x:c r="Q9" s="15" t="s">
        <x:v>78</x:v>
      </x:c>
      <x:c r="R9" s="15" t="s">
        <x:v>22</x:v>
      </x:c>
      <x:c r="S9" s="13">
        <x:v>1</x:v>
      </x:c>
      <x:c r="T9" s="12" t="s">
        <x:v>58</x:v>
      </x:c>
    </x:row>
    <x:row r="10" ht="30" customHeight="1">
      <x:c r="A10" s="13">
        <x:v>6</x:v>
      </x:c>
      <x:c r="B10" s="12" t="s">
        <x:v>79</x:v>
      </x:c>
      <x:c r="C10" s="12" t="s">
        <x:v>80</x:v>
      </x:c>
      <x:c r="D10" s="12"/>
      <x:c r="E10" s="12" t="s">
        <x:v>9</x:v>
      </x:c>
      <x:c r="F10" s="12" t="s">
        <x:v>23</x:v>
      </x:c>
      <x:c r="G10" s="14" t="s">
        <x:v>57</x:v>
      </x:c>
      <x:c r="H10" s="14" t="str">
        <x:f t="shared" si="0"/>
        <x:v>Uncommon</x:v>
      </x:c>
      <x:c r="I10" s="13">
        <x:v>4</x:v>
      </x:c>
      <x:c r="J10" s="13">
        <x:v>5</x:v>
      </x:c>
      <x:c r="K10" s="12" t="s">
        <x:v>23</x:v>
      </x:c>
      <x:c r="L10" s="13">
        <x:v>1</x:v>
      </x:c>
      <x:c r="M10" s="13">
        <x:v>0</x:v>
      </x:c>
      <x:c r="N10" s="13">
        <x:f t="shared" si="1"/>
        <x:v>1</x:v>
      </x:c>
      <x:c r="O10" s="12"/>
      <x:c r="P10" s="15"/>
      <x:c r="Q10" s="15"/>
      <x:c r="R10" s="15" t="s">
        <x:v>24</x:v>
      </x:c>
      <x:c r="S10" s="13">
        <x:v>2</x:v>
      </x:c>
      <x:c r="T10" s="12" t="s">
        <x:v>58</x:v>
      </x:c>
    </x:row>
    <x:row r="11" ht="30" customHeight="1">
      <x:c r="A11" s="13">
        <x:v>7</x:v>
      </x:c>
      <x:c r="B11" s="12" t="s">
        <x:v>81</x:v>
      </x:c>
      <x:c r="C11" s="12" t="s">
        <x:v>82</x:v>
      </x:c>
      <x:c r="D11" s="12" t="s">
        <x:v>83</x:v>
      </x:c>
      <x:c r="E11" s="12" t="s">
        <x:v>9</x:v>
      </x:c>
      <x:c r="F11" s="12" t="s">
        <x:v>23</x:v>
      </x:c>
      <x:c r="G11" s="14" t="s">
        <x:v>57</x:v>
      </x:c>
      <x:c r="H11" s="14" t="str">
        <x:f t="shared" si="0"/>
        <x:v>Uncommon</x:v>
      </x:c>
      <x:c r="I11" s="13">
        <x:v>4</x:v>
      </x:c>
      <x:c r="J11" s="13">
        <x:v>8</x:v>
      </x:c>
      <x:c r="K11" s="12" t="s">
        <x:v>84</x:v>
      </x:c>
      <x:c r="L11" s="13">
        <x:v>2</x:v>
      </x:c>
      <x:c r="M11" s="13">
        <x:v>0</x:v>
      </x:c>
      <x:c r="N11" s="13">
        <x:f t="shared" si="1"/>
        <x:v>2</x:v>
      </x:c>
      <x:c r="O11" s="12"/>
      <x:c r="P11" s="15" t="s">
        <x:v>85</x:v>
      </x:c>
      <x:c r="Q11" s="15" t="s">
        <x:v>78</x:v>
      </x:c>
      <x:c r="R11" s="15" t="s">
        <x:v>24</x:v>
      </x:c>
      <x:c r="S11" s="13">
        <x:v>2</x:v>
      </x:c>
      <x:c r="T11" s="12" t="s">
        <x:v>58</x:v>
      </x:c>
    </x:row>
    <x:row r="12" ht="30" customHeight="1">
      <x:c r="A12" s="13">
        <x:v>8</x:v>
      </x:c>
      <x:c r="B12" s="12" t="s">
        <x:v>86</x:v>
      </x:c>
      <x:c r="C12" s="12" t="s">
        <x:v>87</x:v>
      </x:c>
      <x:c r="D12" s="12" t="s">
        <x:v>88</x:v>
      </x:c>
      <x:c r="E12" s="12" t="s">
        <x:v>9</x:v>
      </x:c>
      <x:c r="F12" s="12" t="s">
        <x:v>23</x:v>
      </x:c>
      <x:c r="G12" s="14" t="s">
        <x:v>66</x:v>
      </x:c>
      <x:c r="H12" s="14" t="str">
        <x:f t="shared" si="0"/>
        <x:v>Rare</x:v>
      </x:c>
      <x:c r="I12" s="13">
        <x:v>3</x:v>
      </x:c>
      <x:c r="J12" s="13">
        <x:v>3</x:v>
      </x:c>
      <x:c r="K12" s="12" t="s">
        <x:v>23</x:v>
      </x:c>
      <x:c r="L12" s="13">
        <x:v>1</x:v>
      </x:c>
      <x:c r="M12" s="13">
        <x:v>0</x:v>
      </x:c>
      <x:c r="N12" s="13">
        <x:f t="shared" si="1"/>
        <x:v>1</x:v>
      </x:c>
      <x:c r="O12" s="12"/>
      <x:c r="P12" s="15" t="s">
        <x:v>89</x:v>
      </x:c>
      <x:c r="Q12" s="15" t="s">
        <x:v>90</x:v>
      </x:c>
      <x:c r="R12" s="15"/>
      <x:c r="S12" s="13">
        <x:v>0</x:v>
      </x:c>
      <x:c r="T12" s="12" t="s">
        <x:v>58</x:v>
      </x:c>
    </x:row>
    <x:row r="13" ht="30" customHeight="1">
      <x:c r="A13" s="13">
        <x:v>9</x:v>
      </x:c>
      <x:c r="B13" s="12" t="s">
        <x:v>91</x:v>
      </x:c>
      <x:c r="C13" s="12" t="s">
        <x:v>92</x:v>
      </x:c>
      <x:c r="D13" s="12" t="s">
        <x:v>93</x:v>
      </x:c>
      <x:c r="E13" s="12" t="s">
        <x:v>9</x:v>
      </x:c>
      <x:c r="F13" s="12" t="s">
        <x:v>23</x:v>
      </x:c>
      <x:c r="G13" s="14" t="s">
        <x:v>66</x:v>
      </x:c>
      <x:c r="H13" s="14" t="str">
        <x:f t="shared" si="0"/>
        <x:v>Rare</x:v>
      </x:c>
      <x:c r="I13" s="13">
        <x:v>4</x:v>
      </x:c>
      <x:c r="J13" s="13">
        <x:v>6</x:v>
      </x:c>
      <x:c r="K13" s="12" t="s">
        <x:v>94</x:v>
      </x:c>
      <x:c r="L13" s="13">
        <x:v>2</x:v>
      </x:c>
      <x:c r="M13" s="13">
        <x:v>0</x:v>
      </x:c>
      <x:c r="N13" s="13">
        <x:f t="shared" si="1"/>
        <x:v>2</x:v>
      </x:c>
      <x:c r="O13" s="12"/>
      <x:c r="P13" s="15" t="s">
        <x:v>95</x:v>
      </x:c>
      <x:c r="Q13" s="15" t="s">
        <x:v>96</x:v>
      </x:c>
      <x:c r="R13" s="15"/>
      <x:c r="S13" s="13">
        <x:v>0</x:v>
      </x:c>
      <x:c r="T13" s="12" t="s">
        <x:v>58</x:v>
      </x:c>
    </x:row>
    <x:row r="14" ht="30" customHeight="1">
      <x:c r="A14" s="13">
        <x:v>10</x:v>
      </x:c>
      <x:c r="B14" s="12" t="s">
        <x:v>97</x:v>
      </x:c>
      <x:c r="C14" s="12" t="s">
        <x:v>98</x:v>
      </x:c>
      <x:c r="D14" s="12" t="s">
        <x:v>99</x:v>
      </x:c>
      <x:c r="E14" s="12" t="s">
        <x:v>9</x:v>
      </x:c>
      <x:c r="F14" s="12" t="s">
        <x:v>23</x:v>
      </x:c>
      <x:c r="G14" s="14" t="s">
        <x:v>66</x:v>
      </x:c>
      <x:c r="H14" s="14" t="str">
        <x:f t="shared" si="0"/>
        <x:v>Rare</x:v>
      </x:c>
      <x:c r="I14" s="13">
        <x:v>8</x:v>
      </x:c>
      <x:c r="J14" s="13">
        <x:v>8</x:v>
      </x:c>
      <x:c r="K14" s="12" t="s">
        <x:v>100</x:v>
      </x:c>
      <x:c r="L14" s="13">
        <x:v>3</x:v>
      </x:c>
      <x:c r="M14" s="13">
        <x:v>0</x:v>
      </x:c>
      <x:c r="N14" s="13">
        <x:f t="shared" si="1"/>
        <x:v>3</x:v>
      </x:c>
      <x:c r="O14" s="12"/>
      <x:c r="P14" s="15" t="s">
        <x:v>101</x:v>
      </x:c>
      <x:c r="Q14" s="15" t="s">
        <x:v>68</x:v>
      </x:c>
      <x:c r="R14" s="15" t="s">
        <x:v>24</x:v>
      </x:c>
      <x:c r="S14" s="13">
        <x:v>1</x:v>
      </x:c>
      <x:c r="T14" s="12" t="s">
        <x:v>58</x:v>
      </x:c>
    </x:row>
    <x:row r="15" ht="30" customHeight="1">
      <x:c r="A15" s="13">
        <x:v>11</x:v>
      </x:c>
      <x:c r="B15" s="12" t="s">
        <x:v>102</x:v>
      </x:c>
      <x:c r="C15" s="12" t="s">
        <x:v>103</x:v>
      </x:c>
      <x:c r="D15" s="12"/>
      <x:c r="E15" s="12" t="s">
        <x:v>9</x:v>
      </x:c>
      <x:c r="F15" s="12" t="s">
        <x:v>25</x:v>
      </x:c>
      <x:c r="G15" s="14" t="s">
        <x:v>57</x:v>
      </x:c>
      <x:c r="H15" s="14" t="str">
        <x:f t="shared" si="0"/>
        <x:v>Uncommon</x:v>
      </x:c>
      <x:c r="I15" s="13">
        <x:v>4</x:v>
      </x:c>
      <x:c r="J15" s="13">
        <x:v>5</x:v>
      </x:c>
      <x:c r="K15" s="12" t="s">
        <x:v>25</x:v>
      </x:c>
      <x:c r="L15" s="13">
        <x:v>1</x:v>
      </x:c>
      <x:c r="M15" s="13">
        <x:v>0</x:v>
      </x:c>
      <x:c r="N15" s="13">
        <x:f t="shared" si="1"/>
        <x:v>1</x:v>
      </x:c>
      <x:c r="O15" s="12"/>
      <x:c r="P15" s="15"/>
      <x:c r="Q15" s="15"/>
      <x:c r="R15" s="15" t="s">
        <x:v>26</x:v>
      </x:c>
      <x:c r="S15" s="13">
        <x:v>1</x:v>
      </x:c>
      <x:c r="T15" s="12" t="s">
        <x:v>58</x:v>
      </x:c>
    </x:row>
    <x:row r="16" ht="30" customHeight="1">
      <x:c r="A16" s="13">
        <x:v>12</x:v>
      </x:c>
      <x:c r="B16" s="12" t="s">
        <x:v>104</x:v>
      </x:c>
      <x:c r="C16" s="12" t="s">
        <x:v>105</x:v>
      </x:c>
      <x:c r="D16" s="12" t="s">
        <x:v>106</x:v>
      </x:c>
      <x:c r="E16" s="12" t="s">
        <x:v>9</x:v>
      </x:c>
      <x:c r="F16" s="12" t="s">
        <x:v>25</x:v>
      </x:c>
      <x:c r="G16" s="14" t="s">
        <x:v>57</x:v>
      </x:c>
      <x:c r="H16" s="14" t="str">
        <x:f t="shared" si="0"/>
        <x:v>Uncommon</x:v>
      </x:c>
      <x:c r="I16" s="13">
        <x:v>5</x:v>
      </x:c>
      <x:c r="J16" s="13">
        <x:v>6</x:v>
      </x:c>
      <x:c r="K16" s="12" t="s">
        <x:v>107</x:v>
      </x:c>
      <x:c r="L16" s="13">
        <x:v>2</x:v>
      </x:c>
      <x:c r="M16" s="13">
        <x:v>0</x:v>
      </x:c>
      <x:c r="N16" s="13">
        <x:f t="shared" si="1"/>
        <x:v>2</x:v>
      </x:c>
      <x:c r="O16" s="12"/>
      <x:c r="P16" s="15" t="s">
        <x:v>108</x:v>
      </x:c>
      <x:c r="Q16" s="15" t="s">
        <x:v>78</x:v>
      </x:c>
      <x:c r="R16" s="15" t="s">
        <x:v>26</x:v>
      </x:c>
      <x:c r="S16" s="13">
        <x:v>2</x:v>
      </x:c>
      <x:c r="T16" s="12" t="s">
        <x:v>58</x:v>
      </x:c>
    </x:row>
    <x:row r="17" ht="30" customHeight="1">
      <x:c r="A17" s="13">
        <x:v>13</x:v>
      </x:c>
      <x:c r="B17" s="12" t="s">
        <x:v>109</x:v>
      </x:c>
      <x:c r="C17" s="12" t="s">
        <x:v>110</x:v>
      </x:c>
      <x:c r="D17" s="12" t="s">
        <x:v>111</x:v>
      </x:c>
      <x:c r="E17" s="12" t="s">
        <x:v>9</x:v>
      </x:c>
      <x:c r="F17" s="12" t="s">
        <x:v>25</x:v>
      </x:c>
      <x:c r="G17" s="14" t="s">
        <x:v>66</x:v>
      </x:c>
      <x:c r="H17" s="14" t="str">
        <x:f t="shared" si="0"/>
        <x:v>Rare</x:v>
      </x:c>
      <x:c r="I17" s="13">
        <x:v>3</x:v>
      </x:c>
      <x:c r="J17" s="13">
        <x:v>4</x:v>
      </x:c>
      <x:c r="K17" s="12" t="s">
        <x:v>25</x:v>
      </x:c>
      <x:c r="L17" s="13">
        <x:v>1</x:v>
      </x:c>
      <x:c r="M17" s="13">
        <x:v>0</x:v>
      </x:c>
      <x:c r="N17" s="13">
        <x:f t="shared" si="1"/>
        <x:v>1</x:v>
      </x:c>
      <x:c r="O17" s="12"/>
      <x:c r="P17" s="15" t="s">
        <x:v>112</x:v>
      </x:c>
      <x:c r="Q17" s="15" t="s">
        <x:v>113</x:v>
      </x:c>
      <x:c r="R17" s="15"/>
      <x:c r="S17" s="13">
        <x:v>0</x:v>
      </x:c>
      <x:c r="T17" s="12" t="s">
        <x:v>58</x:v>
      </x:c>
    </x:row>
    <x:row r="18" ht="30" customHeight="1">
      <x:c r="A18" s="13">
        <x:v>14</x:v>
      </x:c>
      <x:c r="B18" s="12" t="s">
        <x:v>114</x:v>
      </x:c>
      <x:c r="C18" s="12" t="s">
        <x:v>115</x:v>
      </x:c>
      <x:c r="D18" s="12" t="s">
        <x:v>116</x:v>
      </x:c>
      <x:c r="E18" s="12" t="s">
        <x:v>9</x:v>
      </x:c>
      <x:c r="F18" s="12" t="s">
        <x:v>25</x:v>
      </x:c>
      <x:c r="G18" s="14" t="s">
        <x:v>66</x:v>
      </x:c>
      <x:c r="H18" s="14" t="str">
        <x:f t="shared" si="0"/>
        <x:v>Rare</x:v>
      </x:c>
      <x:c r="I18" s="13">
        <x:v>5</x:v>
      </x:c>
      <x:c r="J18" s="13">
        <x:v>6</x:v>
      </x:c>
      <x:c r="K18" s="12" t="s">
        <x:v>107</x:v>
      </x:c>
      <x:c r="L18" s="13">
        <x:v>2</x:v>
      </x:c>
      <x:c r="M18" s="13">
        <x:v>0</x:v>
      </x:c>
      <x:c r="N18" s="13">
        <x:f t="shared" si="1"/>
        <x:v>2</x:v>
      </x:c>
      <x:c r="O18" s="12"/>
      <x:c r="P18" s="15" t="s">
        <x:v>117</x:v>
      </x:c>
      <x:c r="Q18" s="15" t="s">
        <x:v>90</x:v>
      </x:c>
      <x:c r="R18" s="15"/>
      <x:c r="S18" s="13">
        <x:v>0</x:v>
      </x:c>
      <x:c r="T18" s="12" t="s">
        <x:v>58</x:v>
      </x:c>
    </x:row>
    <x:row r="19" ht="45" customHeight="1">
      <x:c r="A19" s="13">
        <x:v>15</x:v>
      </x:c>
      <x:c r="B19" s="12" t="s">
        <x:v>118</x:v>
      </x:c>
      <x:c r="C19" s="12" t="s">
        <x:v>119</x:v>
      </x:c>
      <x:c r="D19" s="12" t="s">
        <x:v>120</x:v>
      </x:c>
      <x:c r="E19" s="12" t="s">
        <x:v>9</x:v>
      </x:c>
      <x:c r="F19" s="12" t="s">
        <x:v>25</x:v>
      </x:c>
      <x:c r="G19" s="14" t="s">
        <x:v>66</x:v>
      </x:c>
      <x:c r="H19" s="14" t="str">
        <x:f t="shared" si="0"/>
        <x:v>Rare</x:v>
      </x:c>
      <x:c r="I19" s="13">
        <x:v>4</x:v>
      </x:c>
      <x:c r="J19" s="13">
        <x:v>6</x:v>
      </x:c>
      <x:c r="K19" s="12" t="s">
        <x:v>107</x:v>
      </x:c>
      <x:c r="L19" s="13">
        <x:v>2</x:v>
      </x:c>
      <x:c r="M19" s="13">
        <x:v>0</x:v>
      </x:c>
      <x:c r="N19" s="13">
        <x:f t="shared" si="1"/>
        <x:v>2</x:v>
      </x:c>
      <x:c r="O19" s="12"/>
      <x:c r="P19" s="15" t="s">
        <x:v>121</x:v>
      </x:c>
      <x:c r="Q19" s="15" t="s">
        <x:v>122</x:v>
      </x:c>
      <x:c r="R19" s="15" t="s">
        <x:v>26</x:v>
      </x:c>
      <x:c r="S19" s="13">
        <x:v>2</x:v>
      </x:c>
      <x:c r="T19" s="12" t="s">
        <x:v>58</x:v>
      </x:c>
    </x:row>
    <x:row r="20" ht="30" customHeight="1">
      <x:c r="A20" s="13">
        <x:v>16</x:v>
      </x:c>
      <x:c r="B20" s="12" t="s">
        <x:v>123</x:v>
      </x:c>
      <x:c r="C20" s="12" t="s">
        <x:v>124</x:v>
      </x:c>
      <x:c r="D20" s="12"/>
      <x:c r="E20" s="12" t="s">
        <x:v>9</x:v>
      </x:c>
      <x:c r="F20" s="12" t="s">
        <x:v>25</x:v>
      </x:c>
      <x:c r="G20" s="14" t="s">
        <x:v>66</x:v>
      </x:c>
      <x:c r="H20" s="14" t="str">
        <x:f t="shared" si="0"/>
        <x:v>Rare</x:v>
      </x:c>
      <x:c r="I20" s="13">
        <x:v>4</x:v>
      </x:c>
      <x:c r="J20" s="13">
        <x:v>5</x:v>
      </x:c>
      <x:c r="K20" s="12" t="s">
        <x:v>107</x:v>
      </x:c>
      <x:c r="L20" s="13">
        <x:v>2</x:v>
      </x:c>
      <x:c r="M20" s="13">
        <x:v>0</x:v>
      </x:c>
      <x:c r="N20" s="13">
        <x:f t="shared" si="1"/>
        <x:v>2</x:v>
      </x:c>
      <x:c r="O20" s="12"/>
      <x:c r="P20" s="15" t="s">
        <x:v>125</x:v>
      </x:c>
      <x:c r="Q20" s="15" t="s">
        <x:v>126</x:v>
      </x:c>
      <x:c r="R20" s="15"/>
      <x:c r="S20" s="13">
        <x:v>0</x:v>
      </x:c>
      <x:c r="T20" s="12" t="s">
        <x:v>58</x:v>
      </x:c>
    </x:row>
    <x:row r="21" ht="30" customHeight="1">
      <x:c r="A21" s="13">
        <x:v>17</x:v>
      </x:c>
      <x:c r="B21" s="12" t="s">
        <x:v>127</x:v>
      </x:c>
      <x:c r="C21" s="12" t="s">
        <x:v>128</x:v>
      </x:c>
      <x:c r="D21" s="12"/>
      <x:c r="E21" s="12" t="s">
        <x:v>9</x:v>
      </x:c>
      <x:c r="F21" s="12" t="s">
        <x:v>23</x:v>
      </x:c>
      <x:c r="G21" s="14" t="s">
        <x:v>57</x:v>
      </x:c>
      <x:c r="H21" s="14" t="str">
        <x:f t="shared" si="0"/>
        <x:v>Uncommon</x:v>
      </x:c>
      <x:c r="I21" s="13">
        <x:v>3</x:v>
      </x:c>
      <x:c r="J21" s="13">
        <x:v>5</x:v>
      </x:c>
      <x:c r="K21" s="12" t="s">
        <x:v>23</x:v>
      </x:c>
      <x:c r="L21" s="13">
        <x:v>1</x:v>
      </x:c>
      <x:c r="M21" s="13">
        <x:v>0</x:v>
      </x:c>
      <x:c r="N21" s="13">
        <x:f t="shared" si="1"/>
        <x:v>1</x:v>
      </x:c>
      <x:c r="O21" s="12"/>
      <x:c r="P21" s="15" t="s">
        <x:v>129</x:v>
      </x:c>
      <x:c r="Q21" s="15" t="s">
        <x:v>68</x:v>
      </x:c>
      <x:c r="R21" s="15"/>
      <x:c r="S21" s="13">
        <x:v>0</x:v>
      </x:c>
      <x:c r="T21" s="12" t="s">
        <x:v>58</x:v>
      </x:c>
    </x:row>
    <x:row r="22" ht="60" customHeight="1">
      <x:c r="A22" s="13">
        <x:v>18</x:v>
      </x:c>
      <x:c r="B22" s="12" t="s">
        <x:v>130</x:v>
      </x:c>
      <x:c r="C22" s="12" t="s">
        <x:v>131</x:v>
      </x:c>
      <x:c r="D22" s="12"/>
      <x:c r="E22" s="12" t="s">
        <x:v>9</x:v>
      </x:c>
      <x:c r="F22" s="12" t="s">
        <x:v>27</x:v>
      </x:c>
      <x:c r="G22" s="14" t="s">
        <x:v>66</x:v>
      </x:c>
      <x:c r="H22" s="14" t="str">
        <x:f t="shared" si="0"/>
        <x:v>Rare</x:v>
      </x:c>
      <x:c r="I22" s="13">
        <x:v>2</x:v>
      </x:c>
      <x:c r="J22" s="13">
        <x:v>2</x:v>
      </x:c>
      <x:c r="K22" s="12" t="s">
        <x:v>27</x:v>
      </x:c>
      <x:c r="L22" s="13">
        <x:v>1</x:v>
      </x:c>
      <x:c r="M22" s="13">
        <x:v>0</x:v>
      </x:c>
      <x:c r="N22" s="13">
        <x:f t="shared" si="1"/>
        <x:v>1</x:v>
      </x:c>
      <x:c r="O22" s="12"/>
      <x:c r="P22" s="15" t="s">
        <x:v>132</x:v>
      </x:c>
      <x:c r="Q22" s="15" t="s">
        <x:v>133</x:v>
      </x:c>
      <x:c r="R22" s="15" t="s">
        <x:v>28</x:v>
      </x:c>
      <x:c r="S22" s="13">
        <x:v>1</x:v>
      </x:c>
      <x:c r="T22" s="12" t="s">
        <x:v>58</x:v>
      </x:c>
    </x:row>
    <x:row r="23" ht="30" customHeight="1">
      <x:c r="A23" s="13">
        <x:v>19</x:v>
      </x:c>
      <x:c r="B23" s="12" t="s">
        <x:v>134</x:v>
      </x:c>
      <x:c r="C23" s="12" t="s">
        <x:v>135</x:v>
      </x:c>
      <x:c r="D23" s="12"/>
      <x:c r="E23" s="12" t="s">
        <x:v>9</x:v>
      </x:c>
      <x:c r="F23" s="12" t="s">
        <x:v>27</x:v>
      </x:c>
      <x:c r="G23" s="14" t="s">
        <x:v>57</x:v>
      </x:c>
      <x:c r="H23" s="14" t="str">
        <x:f t="shared" si="0"/>
        <x:v>Uncommon</x:v>
      </x:c>
      <x:c r="I23" s="13">
        <x:v>3</x:v>
      </x:c>
      <x:c r="J23" s="13">
        <x:v>5</x:v>
      </x:c>
      <x:c r="K23" s="12" t="s">
        <x:v>136</x:v>
      </x:c>
      <x:c r="L23" s="13">
        <x:v>2</x:v>
      </x:c>
      <x:c r="M23" s="13">
        <x:v>0</x:v>
      </x:c>
      <x:c r="N23" s="13">
        <x:f t="shared" si="1"/>
        <x:v>2</x:v>
      </x:c>
      <x:c r="O23" s="12"/>
      <x:c r="P23" s="15" t="s">
        <x:v>137</x:v>
      </x:c>
      <x:c r="Q23" s="15" t="s">
        <x:v>138</x:v>
      </x:c>
      <x:c r="R23" s="15" t="s">
        <x:v>28</x:v>
      </x:c>
      <x:c r="S23" s="13">
        <x:v>2</x:v>
      </x:c>
      <x:c r="T23" s="12" t="s">
        <x:v>58</x:v>
      </x:c>
    </x:row>
    <x:row r="24" ht="30" customHeight="1">
      <x:c r="A24" s="13">
        <x:v>20</x:v>
      </x:c>
      <x:c r="B24" s="12" t="s">
        <x:v>139</x:v>
      </x:c>
      <x:c r="C24" s="12" t="s">
        <x:v>140</x:v>
      </x:c>
      <x:c r="D24" s="12" t="s">
        <x:v>141</x:v>
      </x:c>
      <x:c r="E24" s="12" t="s">
        <x:v>9</x:v>
      </x:c>
      <x:c r="F24" s="12" t="s">
        <x:v>27</x:v>
      </x:c>
      <x:c r="G24" s="14" t="s">
        <x:v>57</x:v>
      </x:c>
      <x:c r="H24" s="14" t="str">
        <x:f t="shared" si="0"/>
        <x:v>Uncommon</x:v>
      </x:c>
      <x:c r="I24" s="13">
        <x:v>4</x:v>
      </x:c>
      <x:c r="J24" s="13">
        <x:v>5</x:v>
      </x:c>
      <x:c r="K24" s="12" t="s">
        <x:v>27</x:v>
      </x:c>
      <x:c r="L24" s="13">
        <x:v>1</x:v>
      </x:c>
      <x:c r="M24" s="13">
        <x:v>0</x:v>
      </x:c>
      <x:c r="N24" s="13">
        <x:f t="shared" si="1"/>
        <x:v>1</x:v>
      </x:c>
      <x:c r="O24" s="12"/>
      <x:c r="P24" s="15"/>
      <x:c r="Q24" s="15"/>
      <x:c r="R24" s="15" t="s">
        <x:v>28</x:v>
      </x:c>
      <x:c r="S24" s="13">
        <x:v>2</x:v>
      </x:c>
      <x:c r="T24" s="12" t="s">
        <x:v>58</x:v>
      </x:c>
    </x:row>
    <x:row r="25" ht="30" customHeight="1">
      <x:c r="A25" s="13">
        <x:v>21</x:v>
      </x:c>
      <x:c r="B25" s="12" t="s">
        <x:v>142</x:v>
      </x:c>
      <x:c r="C25" s="12" t="s">
        <x:v>143</x:v>
      </x:c>
      <x:c r="D25" s="12"/>
      <x:c r="E25" s="12" t="s">
        <x:v>9</x:v>
      </x:c>
      <x:c r="F25" s="12" t="s">
        <x:v>21</x:v>
      </x:c>
      <x:c r="G25" s="14" t="s">
        <x:v>57</x:v>
      </x:c>
      <x:c r="H25" s="14" t="str">
        <x:f t="shared" si="0"/>
        <x:v>Uncommon</x:v>
      </x:c>
      <x:c r="I25" s="13">
        <x:v>4</x:v>
      </x:c>
      <x:c r="J25" s="13">
        <x:v>3</x:v>
      </x:c>
      <x:c r="K25" s="12" t="s">
        <x:v>21</x:v>
      </x:c>
      <x:c r="L25" s="13">
        <x:v>1</x:v>
      </x:c>
      <x:c r="M25" s="13">
        <x:v>0</x:v>
      </x:c>
      <x:c r="N25" s="13">
        <x:f t="shared" si="1"/>
        <x:v>1</x:v>
      </x:c>
      <x:c r="O25" s="12"/>
      <x:c r="P25" s="15" t="s">
        <x:v>144</x:v>
      </x:c>
      <x:c r="Q25" s="15" t="s">
        <x:v>68</x:v>
      </x:c>
      <x:c r="R25" s="15"/>
      <x:c r="S25" s="13">
        <x:v>0</x:v>
      </x:c>
      <x:c r="T25" s="12" t="s">
        <x:v>58</x:v>
      </x:c>
    </x:row>
    <x:row r="26" ht="30" customHeight="1">
      <x:c r="A26" s="13">
        <x:v>22</x:v>
      </x:c>
      <x:c r="B26" s="12" t="s">
        <x:v>145</x:v>
      </x:c>
      <x:c r="C26" s="12" t="s">
        <x:v>146</x:v>
      </x:c>
      <x:c r="D26" s="12"/>
      <x:c r="E26" s="12" t="s">
        <x:v>9</x:v>
      </x:c>
      <x:c r="F26" s="12" t="s">
        <x:v>23</x:v>
      </x:c>
      <x:c r="G26" s="14" t="s">
        <x:v>66</x:v>
      </x:c>
      <x:c r="H26" s="14" t="str">
        <x:f t="shared" si="0"/>
        <x:v>Rare</x:v>
      </x:c>
      <x:c r="I26" s="13">
        <x:v>5</x:v>
      </x:c>
      <x:c r="J26" s="13">
        <x:v>6</x:v>
      </x:c>
      <x:c r="K26" s="12" t="s">
        <x:v>84</x:v>
      </x:c>
      <x:c r="L26" s="13">
        <x:v>2</x:v>
      </x:c>
      <x:c r="M26" s="13">
        <x:v>0</x:v>
      </x:c>
      <x:c r="N26" s="13">
        <x:f t="shared" si="1"/>
        <x:v>2</x:v>
      </x:c>
      <x:c r="O26" s="12"/>
      <x:c r="P26" s="15" t="s">
        <x:v>147</x:v>
      </x:c>
      <x:c r="Q26" s="15" t="s">
        <x:v>148</x:v>
      </x:c>
      <x:c r="R26" s="15"/>
      <x:c r="S26" s="13">
        <x:v>0</x:v>
      </x:c>
      <x:c r="T26" s="12" t="s">
        <x:v>58</x:v>
      </x:c>
    </x:row>
    <x:row r="27" ht="30" customHeight="1">
      <x:c r="A27" s="13">
        <x:v>23</x:v>
      </x:c>
      <x:c r="B27" s="12" t="s">
        <x:v>149</x:v>
      </x:c>
      <x:c r="C27" s="12" t="s">
        <x:v>150</x:v>
      </x:c>
      <x:c r="D27" s="12"/>
      <x:c r="E27" s="12" t="s">
        <x:v>9</x:v>
      </x:c>
      <x:c r="F27" s="12" t="s">
        <x:v>23</x:v>
      </x:c>
      <x:c r="G27" s="14" t="s">
        <x:v>66</x:v>
      </x:c>
      <x:c r="H27" s="14" t="str">
        <x:f t="shared" si="0"/>
        <x:v>Rare</x:v>
      </x:c>
      <x:c r="I27" s="13">
        <x:v>4</x:v>
      </x:c>
      <x:c r="J27" s="13">
        <x:v>7</x:v>
      </x:c>
      <x:c r="K27" s="12" t="s">
        <x:v>84</x:v>
      </x:c>
      <x:c r="L27" s="13">
        <x:v>2</x:v>
      </x:c>
      <x:c r="M27" s="13">
        <x:v>0</x:v>
      </x:c>
      <x:c r="N27" s="13">
        <x:f t="shared" si="1"/>
        <x:v>2</x:v>
      </x:c>
      <x:c r="O27" s="12"/>
      <x:c r="P27" s="15" t="s">
        <x:v>151</x:v>
      </x:c>
      <x:c r="Q27" s="15" t="s">
        <x:v>68</x:v>
      </x:c>
      <x:c r="R27" s="15"/>
      <x:c r="S27" s="13">
        <x:v>0</x:v>
      </x:c>
      <x:c r="T27" s="12" t="s">
        <x:v>58</x:v>
      </x:c>
    </x:row>
    <x:row r="28" ht="30" customHeight="1">
      <x:c r="A28" s="13">
        <x:v>24</x:v>
      </x:c>
      <x:c r="B28" s="12" t="s">
        <x:v>152</x:v>
      </x:c>
      <x:c r="C28" s="12" t="s">
        <x:v>153</x:v>
      </x:c>
      <x:c r="D28" s="12"/>
      <x:c r="E28" s="12" t="s">
        <x:v>9</x:v>
      </x:c>
      <x:c r="F28" s="12" t="s">
        <x:v>29</x:v>
      </x:c>
      <x:c r="G28" s="14" t="s">
        <x:v>66</x:v>
      </x:c>
      <x:c r="H28" s="14" t="str">
        <x:f t="shared" si="0"/>
        <x:v>Rare</x:v>
      </x:c>
      <x:c r="I28" s="13">
        <x:v>4</x:v>
      </x:c>
      <x:c r="J28" s="13">
        <x:v>6</x:v>
      </x:c>
      <x:c r="K28" s="12" t="s">
        <x:v>154</x:v>
      </x:c>
      <x:c r="L28" s="13">
        <x:v>3</x:v>
      </x:c>
      <x:c r="M28" s="13">
        <x:v>0</x:v>
      </x:c>
      <x:c r="N28" s="13">
        <x:f t="shared" si="1"/>
        <x:v>3</x:v>
      </x:c>
      <x:c r="O28" s="12"/>
      <x:c r="P28" s="15" t="s">
        <x:v>155</x:v>
      </x:c>
      <x:c r="Q28" s="15" t="s">
        <x:v>68</x:v>
      </x:c>
      <x:c r="R28" s="15" t="s">
        <x:v>30</x:v>
      </x:c>
      <x:c r="S28" s="13">
        <x:v>2</x:v>
      </x:c>
      <x:c r="T28" s="12" t="s">
        <x:v>58</x:v>
      </x:c>
    </x:row>
    <x:row r="29" ht="30" customHeight="1">
      <x:c r="A29" s="13">
        <x:v>25</x:v>
      </x:c>
      <x:c r="B29" s="12" t="s">
        <x:v>156</x:v>
      </x:c>
      <x:c r="C29" s="12" t="s">
        <x:v>157</x:v>
      </x:c>
      <x:c r="D29" s="12"/>
      <x:c r="E29" s="12" t="s">
        <x:v>9</x:v>
      </x:c>
      <x:c r="F29" s="12" t="s">
        <x:v>29</x:v>
      </x:c>
      <x:c r="G29" s="14" t="s">
        <x:v>57</x:v>
      </x:c>
      <x:c r="H29" s="14" t="str">
        <x:f t="shared" si="0"/>
        <x:v>Uncommon</x:v>
      </x:c>
      <x:c r="I29" s="13">
        <x:v>4</x:v>
      </x:c>
      <x:c r="J29" s="13">
        <x:v>6</x:v>
      </x:c>
      <x:c r="K29" s="12" t="s">
        <x:v>158</x:v>
      </x:c>
      <x:c r="L29" s="13">
        <x:v>2</x:v>
      </x:c>
      <x:c r="M29" s="13">
        <x:v>0</x:v>
      </x:c>
      <x:c r="N29" s="13">
        <x:f t="shared" si="1"/>
        <x:v>2</x:v>
      </x:c>
      <x:c r="O29" s="12"/>
      <x:c r="P29" s="15" t="s">
        <x:v>159</x:v>
      </x:c>
      <x:c r="Q29" s="15" t="s">
        <x:v>78</x:v>
      </x:c>
      <x:c r="R29" s="15" t="s">
        <x:v>30</x:v>
      </x:c>
      <x:c r="S29" s="13">
        <x:v>2</x:v>
      </x:c>
      <x:c r="T29" s="12" t="s">
        <x:v>58</x:v>
      </x:c>
    </x:row>
    <x:row r="30" ht="45" customHeight="1">
      <x:c r="A30" s="13">
        <x:v>26</x:v>
      </x:c>
      <x:c r="B30" s="12" t="s">
        <x:v>160</x:v>
      </x:c>
      <x:c r="C30" s="12" t="s">
        <x:v>161</x:v>
      </x:c>
      <x:c r="D30" s="12"/>
      <x:c r="E30" s="12" t="s">
        <x:v>9</x:v>
      </x:c>
      <x:c r="F30" s="12" t="s">
        <x:v>25</x:v>
      </x:c>
      <x:c r="G30" s="14" t="s">
        <x:v>66</x:v>
      </x:c>
      <x:c r="H30" s="14" t="str">
        <x:f t="shared" si="0"/>
        <x:v>Rare</x:v>
      </x:c>
      <x:c r="I30" s="13">
        <x:v>4</x:v>
      </x:c>
      <x:c r="J30" s="13">
        <x:v>5</x:v>
      </x:c>
      <x:c r="K30" s="12" t="s">
        <x:v>25</x:v>
      </x:c>
      <x:c r="L30" s="13">
        <x:v>1</x:v>
      </x:c>
      <x:c r="M30" s="13">
        <x:v>0</x:v>
      </x:c>
      <x:c r="N30" s="13">
        <x:f t="shared" si="1"/>
        <x:v>1</x:v>
      </x:c>
      <x:c r="O30" s="12"/>
      <x:c r="P30" s="15" t="s">
        <x:v>162</x:v>
      </x:c>
      <x:c r="Q30" s="15" t="s">
        <x:v>163</x:v>
      </x:c>
      <x:c r="R30" s="15"/>
      <x:c r="S30" s="13">
        <x:v>0</x:v>
      </x:c>
      <x:c r="T30" s="12" t="s">
        <x:v>58</x:v>
      </x:c>
    </x:row>
    <x:row r="31" ht="30" customHeight="1">
      <x:c r="A31" s="13">
        <x:v>27</x:v>
      </x:c>
      <x:c r="B31" s="12" t="s">
        <x:v>164</x:v>
      </x:c>
      <x:c r="C31" s="12" t="s">
        <x:v>165</x:v>
      </x:c>
      <x:c r="D31" s="12"/>
      <x:c r="E31" s="12" t="s">
        <x:v>9</x:v>
      </x:c>
      <x:c r="F31" s="12" t="s">
        <x:v>25</x:v>
      </x:c>
      <x:c r="G31" s="14" t="s">
        <x:v>66</x:v>
      </x:c>
      <x:c r="H31" s="14" t="str">
        <x:f t="shared" si="0"/>
        <x:v>Rare</x:v>
      </x:c>
      <x:c r="I31" s="13">
        <x:v>3</x:v>
      </x:c>
      <x:c r="J31" s="13">
        <x:v>4</x:v>
      </x:c>
      <x:c r="K31" s="12" t="s">
        <x:v>107</x:v>
      </x:c>
      <x:c r="L31" s="13">
        <x:v>2</x:v>
      </x:c>
      <x:c r="M31" s="13">
        <x:v>0</x:v>
      </x:c>
      <x:c r="N31" s="13">
        <x:f t="shared" si="1"/>
        <x:v>2</x:v>
      </x:c>
      <x:c r="O31" s="12"/>
      <x:c r="P31" s="15" t="s">
        <x:v>166</x:v>
      </x:c>
      <x:c r="Q31" s="15" t="s">
        <x:v>167</x:v>
      </x:c>
      <x:c r="R31" s="15"/>
      <x:c r="S31" s="13">
        <x:v>0</x:v>
      </x:c>
      <x:c r="T31" s="12" t="s">
        <x:v>58</x:v>
      </x:c>
    </x:row>
    <x:row r="32" ht="30" customHeight="1">
      <x:c r="A32" s="13">
        <x:v>28</x:v>
      </x:c>
      <x:c r="B32" s="12" t="s">
        <x:v>168</x:v>
      </x:c>
      <x:c r="C32" s="12" t="s">
        <x:v>169</x:v>
      </x:c>
      <x:c r="D32" s="12"/>
      <x:c r="E32" s="12" t="s">
        <x:v>9</x:v>
      </x:c>
      <x:c r="F32" s="12" t="s">
        <x:v>29</x:v>
      </x:c>
      <x:c r="G32" s="14" t="s">
        <x:v>66</x:v>
      </x:c>
      <x:c r="H32" s="14" t="str">
        <x:f t="shared" si="0"/>
        <x:v>Rare</x:v>
      </x:c>
      <x:c r="I32" s="13">
        <x:v>3</x:v>
      </x:c>
      <x:c r="J32" s="13">
        <x:v>4</x:v>
      </x:c>
      <x:c r="K32" s="12" t="s">
        <x:v>29</x:v>
      </x:c>
      <x:c r="L32" s="13">
        <x:v>1</x:v>
      </x:c>
      <x:c r="M32" s="13">
        <x:v>0</x:v>
      </x:c>
      <x:c r="N32" s="13">
        <x:f t="shared" si="1"/>
        <x:v>1</x:v>
      </x:c>
      <x:c r="O32" s="12"/>
      <x:c r="P32" s="15" t="s">
        <x:v>170</x:v>
      </x:c>
      <x:c r="Q32" s="15" t="s">
        <x:v>171</x:v>
      </x:c>
      <x:c r="R32" s="15" t="s">
        <x:v>30</x:v>
      </x:c>
      <x:c r="S32" s="13">
        <x:v>2</x:v>
      </x:c>
      <x:c r="T32" s="12" t="s">
        <x:v>58</x:v>
      </x:c>
    </x:row>
    <x:row r="33" ht="30" customHeight="1">
      <x:c r="A33" s="13">
        <x:v>29</x:v>
      </x:c>
      <x:c r="B33" s="12" t="s">
        <x:v>172</x:v>
      </x:c>
      <x:c r="C33" s="12" t="s">
        <x:v>173</x:v>
      </x:c>
      <x:c r="D33" s="12"/>
      <x:c r="E33" s="12" t="s">
        <x:v>6</x:v>
      </x:c>
      <x:c r="F33" s="12" t="s">
        <x:v>21</x:v>
      </x:c>
      <x:c r="G33" s="14" t="s">
        <x:v>57</x:v>
      </x:c>
      <x:c r="H33" s="14" t="str">
        <x:f t="shared" si="0"/>
        <x:v>Common</x:v>
      </x:c>
      <x:c r="I33" s="13">
        <x:v>1</x:v>
      </x:c>
      <x:c r="J33" s="13">
        <x:v>1</x:v>
      </x:c>
      <x:c r="K33" s="12" t="s">
        <x:v>21</x:v>
      </x:c>
      <x:c r="L33" s="13">
        <x:v>0</x:v>
      </x:c>
      <x:c r="M33" s="13">
        <x:v>0</x:v>
      </x:c>
      <x:c r="N33" s="13">
        <x:f t="shared" si="1"/>
        <x:v>0</x:v>
      </x:c>
      <x:c r="O33" s="12"/>
      <x:c r="P33" s="15" t="s">
        <x:v>174</x:v>
      </x:c>
      <x:c r="Q33" s="15" t="s">
        <x:v>78</x:v>
      </x:c>
      <x:c r="R33" s="15" t="s">
        <x:v>22</x:v>
      </x:c>
      <x:c r="S33" s="13">
        <x:v>3</x:v>
      </x:c>
      <x:c r="T33" s="12" t="s">
        <x:v>58</x:v>
      </x:c>
    </x:row>
    <x:row r="34" ht="30" customHeight="1">
      <x:c r="A34" s="13">
        <x:v>30</x:v>
      </x:c>
      <x:c r="B34" s="12" t="s">
        <x:v>175</x:v>
      </x:c>
      <x:c r="C34" s="12" t="s">
        <x:v>176</x:v>
      </x:c>
      <x:c r="D34" s="12"/>
      <x:c r="E34" s="12" t="s">
        <x:v>6</x:v>
      </x:c>
      <x:c r="F34" s="12" t="s">
        <x:v>21</x:v>
      </x:c>
      <x:c r="G34" s="14" t="s">
        <x:v>57</x:v>
      </x:c>
      <x:c r="H34" s="14" t="str">
        <x:f t="shared" si="0"/>
        <x:v>Common</x:v>
      </x:c>
      <x:c r="I34" s="13">
        <x:v>2</x:v>
      </x:c>
      <x:c r="J34" s="13">
        <x:v>3</x:v>
      </x:c>
      <x:c r="K34" s="12" t="s">
        <x:v>21</x:v>
      </x:c>
      <x:c r="L34" s="13">
        <x:v>0</x:v>
      </x:c>
      <x:c r="M34" s="13">
        <x:v>0</x:v>
      </x:c>
      <x:c r="N34" s="13">
        <x:f t="shared" si="1"/>
        <x:v>0</x:v>
      </x:c>
      <x:c r="O34" s="12"/>
      <x:c r="P34" s="15"/>
      <x:c r="Q34" s="15"/>
      <x:c r="R34" s="15" t="s">
        <x:v>22</x:v>
      </x:c>
      <x:c r="S34" s="13">
        <x:v>2</x:v>
      </x:c>
      <x:c r="T34" s="12" t="s">
        <x:v>58</x:v>
      </x:c>
    </x:row>
    <x:row r="35" ht="30" customHeight="1">
      <x:c r="A35" s="13">
        <x:v>31</x:v>
      </x:c>
      <x:c r="B35" s="12" t="s">
        <x:v>177</x:v>
      </x:c>
      <x:c r="C35" s="12" t="s">
        <x:v>178</x:v>
      </x:c>
      <x:c r="D35" s="12"/>
      <x:c r="E35" s="12" t="s">
        <x:v>6</x:v>
      </x:c>
      <x:c r="F35" s="12" t="s">
        <x:v>21</x:v>
      </x:c>
      <x:c r="G35" s="14" t="s">
        <x:v>57</x:v>
      </x:c>
      <x:c r="H35" s="14" t="str">
        <x:f t="shared" si="0"/>
        <x:v>Common</x:v>
      </x:c>
      <x:c r="I35" s="13">
        <x:v>1</x:v>
      </x:c>
      <x:c r="J35" s="13">
        <x:v>2</x:v>
      </x:c>
      <x:c r="K35" s="12" t="s">
        <x:v>21</x:v>
      </x:c>
      <x:c r="L35" s="13">
        <x:v>0</x:v>
      </x:c>
      <x:c r="M35" s="13">
        <x:v>0</x:v>
      </x:c>
      <x:c r="N35" s="13">
        <x:f t="shared" si="1"/>
        <x:v>0</x:v>
      </x:c>
      <x:c r="O35" s="12" t="s">
        <x:v>179</x:v>
      </x:c>
      <x:c r="P35" s="15" t="s">
        <x:v>180</x:v>
      </x:c>
      <x:c r="Q35" s="15"/>
      <x:c r="R35" s="15" t="s">
        <x:v>22</x:v>
      </x:c>
      <x:c r="S35" s="13">
        <x:v>3</x:v>
      </x:c>
      <x:c r="T35" s="12" t="s">
        <x:v>58</x:v>
      </x:c>
    </x:row>
    <x:row r="36" ht="30" customHeight="1">
      <x:c r="A36" s="13">
        <x:v>32</x:v>
      </x:c>
      <x:c r="B36" s="12" t="s">
        <x:v>181</x:v>
      </x:c>
      <x:c r="C36" s="12" t="s">
        <x:v>182</x:v>
      </x:c>
      <x:c r="D36" s="12" t="s">
        <x:v>183</x:v>
      </x:c>
      <x:c r="E36" s="12" t="s">
        <x:v>6</x:v>
      </x:c>
      <x:c r="F36" s="12" t="s">
        <x:v>21</x:v>
      </x:c>
      <x:c r="G36" s="14" t="s">
        <x:v>66</x:v>
      </x:c>
      <x:c r="H36" s="14" t="str">
        <x:f t="shared" si="0"/>
        <x:v>Rare</x:v>
      </x:c>
      <x:c r="I36" s="13">
        <x:v>2</x:v>
      </x:c>
      <x:c r="J36" s="13">
        <x:v>1</x:v>
      </x:c>
      <x:c r="K36" s="12" t="s">
        <x:v>21</x:v>
      </x:c>
      <x:c r="L36" s="13">
        <x:v>0</x:v>
      </x:c>
      <x:c r="M36" s="13">
        <x:v>0</x:v>
      </x:c>
      <x:c r="N36" s="13">
        <x:f t="shared" si="1"/>
        <x:v>0</x:v>
      </x:c>
      <x:c r="O36" s="12"/>
      <x:c r="P36" s="15" t="s">
        <x:v>184</x:v>
      </x:c>
      <x:c r="Q36" s="15" t="s">
        <x:v>78</x:v>
      </x:c>
      <x:c r="R36" s="15" t="s">
        <x:v>22</x:v>
      </x:c>
      <x:c r="S36" s="13">
        <x:v>2</x:v>
      </x:c>
      <x:c r="T36" s="12" t="s">
        <x:v>58</x:v>
      </x:c>
    </x:row>
    <x:row r="37" ht="30" customHeight="1">
      <x:c r="A37" s="13">
        <x:v>33</x:v>
      </x:c>
      <x:c r="B37" s="12" t="s">
        <x:v>185</x:v>
      </x:c>
      <x:c r="C37" s="12" t="s">
        <x:v>186</x:v>
      </x:c>
      <x:c r="D37" s="12" t="s">
        <x:v>187</x:v>
      </x:c>
      <x:c r="E37" s="12" t="s">
        <x:v>6</x:v>
      </x:c>
      <x:c r="F37" s="12" t="s">
        <x:v>21</x:v>
      </x:c>
      <x:c r="G37" s="14" t="s">
        <x:v>57</x:v>
      </x:c>
      <x:c r="H37" s="14" t="str">
        <x:f t="shared" ref="H37:H68" si="2">IF(E37="Chef","Mythic",IF(G37="Yes","Rare",IF(OR(E37="Meal",E37="Spice",E37="Environment"),"Uncommon","Common")))</x:f>
        <x:v>Common</x:v>
      </x:c>
      <x:c r="I37" s="13">
        <x:v>1</x:v>
      </x:c>
      <x:c r="J37" s="13">
        <x:v>1</x:v>
      </x:c>
      <x:c r="K37" s="12" t="s">
        <x:v>21</x:v>
      </x:c>
      <x:c r="L37" s="13">
        <x:v>0</x:v>
      </x:c>
      <x:c r="M37" s="13">
        <x:v>0</x:v>
      </x:c>
      <x:c r="N37" s="13" t="n">
        <x:f t="shared" ref="N37:N68" si="3">IF(E37="Meal",L37,M37)</x:f>
        <x:v>0</x:v>
      </x:c>
      <x:c r="O37" s="12"/>
      <x:c r="P37" s="15" t="s">
        <x:v>188</x:v>
      </x:c>
      <x:c r="Q37" s="15" t="s">
        <x:v>68</x:v>
      </x:c>
      <x:c r="R37" s="15" t="s">
        <x:v>22</x:v>
      </x:c>
      <x:c r="S37" s="13">
        <x:v>1</x:v>
      </x:c>
      <x:c r="T37" s="12" t="s">
        <x:v>58</x:v>
      </x:c>
    </x:row>
    <x:row r="38" ht="30" customHeight="1">
      <x:c r="A38" s="13">
        <x:v>34</x:v>
      </x:c>
      <x:c r="B38" s="12" t="s">
        <x:v>189</x:v>
      </x:c>
      <x:c r="C38" s="12" t="s">
        <x:v>190</x:v>
      </x:c>
      <x:c r="D38" s="12" t="s">
        <x:v>191</x:v>
      </x:c>
      <x:c r="E38" s="12" t="s">
        <x:v>6</x:v>
      </x:c>
      <x:c r="F38" s="12" t="s">
        <x:v>21</x:v>
      </x:c>
      <x:c r="G38" s="14" t="s">
        <x:v>66</x:v>
      </x:c>
      <x:c r="H38" s="14" t="str">
        <x:f t="shared" si="2"/>
        <x:v>Rare</x:v>
      </x:c>
      <x:c r="I38" s="13">
        <x:v>2</x:v>
      </x:c>
      <x:c r="J38" s="13">
        <x:v>1</x:v>
      </x:c>
      <x:c r="K38" s="12" t="s">
        <x:v>21</x:v>
      </x:c>
      <x:c r="L38" s="13">
        <x:v>0</x:v>
      </x:c>
      <x:c r="M38" s="13">
        <x:v>0</x:v>
      </x:c>
      <x:c r="N38" s="13">
        <x:f t="shared" si="3"/>
        <x:v>0</x:v>
      </x:c>
      <x:c r="O38" s="12"/>
      <x:c r="P38" s="15" t="s">
        <x:v>192</x:v>
      </x:c>
      <x:c r="Q38" s="15" t="s">
        <x:v>78</x:v>
      </x:c>
      <x:c r="R38" s="15"/>
      <x:c r="S38" s="13">
        <x:v>0</x:v>
      </x:c>
      <x:c r="T38" s="12" t="s">
        <x:v>58</x:v>
      </x:c>
    </x:row>
    <x:row r="39" ht="30" customHeight="1">
      <x:c r="A39" s="13">
        <x:v>35</x:v>
      </x:c>
      <x:c r="B39" s="12" t="s">
        <x:v>193</x:v>
      </x:c>
      <x:c r="C39" s="12" t="s">
        <x:v>194</x:v>
      </x:c>
      <x:c r="D39" s="12" t="s">
        <x:v>195</x:v>
      </x:c>
      <x:c r="E39" s="12" t="s">
        <x:v>6</x:v>
      </x:c>
      <x:c r="F39" s="12" t="s">
        <x:v>21</x:v>
      </x:c>
      <x:c r="G39" s="14" t="s">
        <x:v>57</x:v>
      </x:c>
      <x:c r="H39" s="14" t="str">
        <x:f t="shared" si="2"/>
        <x:v>Common</x:v>
      </x:c>
      <x:c r="I39" s="13">
        <x:v>2</x:v>
      </x:c>
      <x:c r="J39" s="13">
        <x:v>1</x:v>
      </x:c>
      <x:c r="K39" s="12" t="s">
        <x:v>21</x:v>
      </x:c>
      <x:c r="L39" s="13">
        <x:v>0</x:v>
      </x:c>
      <x:c r="M39" s="13">
        <x:v>0</x:v>
      </x:c>
      <x:c r="N39" s="13">
        <x:f t="shared" si="3"/>
        <x:v>0</x:v>
      </x:c>
      <x:c r="O39" s="12"/>
      <x:c r="P39" s="15" t="s">
        <x:v>196</x:v>
      </x:c>
      <x:c r="Q39" s="15" t="s">
        <x:v>197</x:v>
      </x:c>
      <x:c r="R39" s="15"/>
      <x:c r="S39" s="13">
        <x:v>0</x:v>
      </x:c>
      <x:c r="T39" s="12" t="s">
        <x:v>58</x:v>
      </x:c>
    </x:row>
    <x:row r="40" ht="30" customHeight="1">
      <x:c r="A40" s="13">
        <x:v>36</x:v>
      </x:c>
      <x:c r="B40" s="12" t="s">
        <x:v>198</x:v>
      </x:c>
      <x:c r="C40" s="12" t="s">
        <x:v>199</x:v>
      </x:c>
      <x:c r="D40" s="12" t="s">
        <x:v>200</x:v>
      </x:c>
      <x:c r="E40" s="12" t="s">
        <x:v>6</x:v>
      </x:c>
      <x:c r="F40" s="12" t="s">
        <x:v>21</x:v>
      </x:c>
      <x:c r="G40" s="14" t="s">
        <x:v>66</x:v>
      </x:c>
      <x:c r="H40" s="14" t="str">
        <x:f t="shared" si="2"/>
        <x:v>Rare</x:v>
      </x:c>
      <x:c r="I40" s="13">
        <x:v>2</x:v>
      </x:c>
      <x:c r="J40" s="13">
        <x:v>1</x:v>
      </x:c>
      <x:c r="K40" s="12" t="s">
        <x:v>21</x:v>
      </x:c>
      <x:c r="L40" s="13">
        <x:v>0</x:v>
      </x:c>
      <x:c r="M40" s="13">
        <x:v>0</x:v>
      </x:c>
      <x:c r="N40" s="13">
        <x:f t="shared" si="3"/>
        <x:v>0</x:v>
      </x:c>
      <x:c r="O40" s="12"/>
      <x:c r="P40" s="15" t="s">
        <x:v>201</x:v>
      </x:c>
      <x:c r="Q40" s="15" t="s">
        <x:v>78</x:v>
      </x:c>
      <x:c r="R40" s="15"/>
      <x:c r="S40" s="13">
        <x:v>0</x:v>
      </x:c>
      <x:c r="T40" s="12" t="s">
        <x:v>58</x:v>
      </x:c>
    </x:row>
    <x:row r="41" ht="30" customHeight="1">
      <x:c r="A41" s="13">
        <x:v>37</x:v>
      </x:c>
      <x:c r="B41" s="12" t="s">
        <x:v>202</x:v>
      </x:c>
      <x:c r="C41" s="12" t="s">
        <x:v>203</x:v>
      </x:c>
      <x:c r="D41" s="12"/>
      <x:c r="E41" s="12" t="s">
        <x:v>6</x:v>
      </x:c>
      <x:c r="F41" s="12" t="s">
        <x:v>21</x:v>
      </x:c>
      <x:c r="G41" s="14" t="s">
        <x:v>66</x:v>
      </x:c>
      <x:c r="H41" s="14" t="str">
        <x:f t="shared" si="2"/>
        <x:v>Rare</x:v>
      </x:c>
      <x:c r="I41" s="13">
        <x:v>1</x:v>
      </x:c>
      <x:c r="J41" s="13">
        <x:v>1</x:v>
      </x:c>
      <x:c r="K41" s="12" t="s">
        <x:v>21</x:v>
      </x:c>
      <x:c r="L41" s="13">
        <x:v>0</x:v>
      </x:c>
      <x:c r="M41" s="13">
        <x:v>0</x:v>
      </x:c>
      <x:c r="N41" s="13">
        <x:f t="shared" si="3"/>
        <x:v>0</x:v>
      </x:c>
      <x:c r="O41" s="12"/>
      <x:c r="P41" s="15" t="s">
        <x:v>204</x:v>
      </x:c>
      <x:c r="Q41" s="15" t="s">
        <x:v>205</x:v>
      </x:c>
      <x:c r="R41" s="15"/>
      <x:c r="S41" s="13">
        <x:v>0</x:v>
      </x:c>
      <x:c r="T41" s="12" t="s">
        <x:v>58</x:v>
      </x:c>
    </x:row>
    <x:row r="42" ht="30" customHeight="1">
      <x:c r="A42" s="13">
        <x:v>38</x:v>
      </x:c>
      <x:c r="B42" s="12" t="s">
        <x:v>206</x:v>
      </x:c>
      <x:c r="C42" s="12" t="s">
        <x:v>207</x:v>
      </x:c>
      <x:c r="D42" s="12"/>
      <x:c r="E42" s="12" t="s">
        <x:v>6</x:v>
      </x:c>
      <x:c r="F42" s="12" t="s">
        <x:v>29</x:v>
      </x:c>
      <x:c r="G42" s="14" t="s">
        <x:v>57</x:v>
      </x:c>
      <x:c r="H42" s="14" t="str">
        <x:f t="shared" si="2"/>
        <x:v>Common</x:v>
      </x:c>
      <x:c r="I42" s="13">
        <x:v>1</x:v>
      </x:c>
      <x:c r="J42" s="13">
        <x:v>1</x:v>
      </x:c>
      <x:c r="K42" s="12" t="s">
        <x:v>29</x:v>
      </x:c>
      <x:c r="L42" s="13">
        <x:v>0</x:v>
      </x:c>
      <x:c r="M42" s="13">
        <x:v>0</x:v>
      </x:c>
      <x:c r="N42" s="13">
        <x:f t="shared" si="3"/>
        <x:v>0</x:v>
      </x:c>
      <x:c r="O42" s="12"/>
      <x:c r="P42" s="15" t="s">
        <x:v>208</x:v>
      </x:c>
      <x:c r="Q42" s="15" t="s">
        <x:v>78</x:v>
      </x:c>
      <x:c r="R42" s="15" t="s">
        <x:v>30</x:v>
      </x:c>
      <x:c r="S42" s="13">
        <x:v>3</x:v>
      </x:c>
      <x:c r="T42" s="12" t="s">
        <x:v>58</x:v>
      </x:c>
    </x:row>
    <x:row r="43" ht="30" customHeight="1">
      <x:c r="A43" s="13">
        <x:v>39</x:v>
      </x:c>
      <x:c r="B43" s="12" t="s">
        <x:v>209</x:v>
      </x:c>
      <x:c r="C43" s="12" t="s">
        <x:v>210</x:v>
      </x:c>
      <x:c r="D43" s="12"/>
      <x:c r="E43" s="12" t="s">
        <x:v>6</x:v>
      </x:c>
      <x:c r="F43" s="12" t="s">
        <x:v>27</x:v>
      </x:c>
      <x:c r="G43" s="14" t="s">
        <x:v>57</x:v>
      </x:c>
      <x:c r="H43" s="14" t="str">
        <x:f t="shared" si="2"/>
        <x:v>Common</x:v>
      </x:c>
      <x:c r="I43" s="13">
        <x:v>1</x:v>
      </x:c>
      <x:c r="J43" s="13">
        <x:v>2</x:v>
      </x:c>
      <x:c r="K43" s="12" t="s">
        <x:v>27</x:v>
      </x:c>
      <x:c r="L43" s="13">
        <x:v>0</x:v>
      </x:c>
      <x:c r="M43" s="13">
        <x:v>0</x:v>
      </x:c>
      <x:c r="N43" s="13">
        <x:f t="shared" si="3"/>
        <x:v>0</x:v>
      </x:c>
      <x:c r="O43" s="12"/>
      <x:c r="P43" s="15" t="s">
        <x:v>211</x:v>
      </x:c>
      <x:c r="Q43" s="15" t="s">
        <x:v>212</x:v>
      </x:c>
      <x:c r="R43" s="15" t="s">
        <x:v>28</x:v>
      </x:c>
      <x:c r="S43" s="13">
        <x:v>3</x:v>
      </x:c>
      <x:c r="T43" s="12" t="s">
        <x:v>58</x:v>
      </x:c>
    </x:row>
    <x:row r="44" ht="30" customHeight="1">
      <x:c r="A44" s="13">
        <x:v>40</x:v>
      </x:c>
      <x:c r="B44" s="12" t="s">
        <x:v>213</x:v>
      </x:c>
      <x:c r="C44" s="12" t="s">
        <x:v>214</x:v>
      </x:c>
      <x:c r="D44" s="12"/>
      <x:c r="E44" s="12" t="s">
        <x:v>6</x:v>
      </x:c>
      <x:c r="F44" s="12" t="s">
        <x:v>29</x:v>
      </x:c>
      <x:c r="G44" s="14" t="s">
        <x:v>66</x:v>
      </x:c>
      <x:c r="H44" s="14" t="str">
        <x:f t="shared" si="2"/>
        <x:v>Rare</x:v>
      </x:c>
      <x:c r="I44" s="13">
        <x:v>1</x:v>
      </x:c>
      <x:c r="J44" s="13">
        <x:v>1</x:v>
      </x:c>
      <x:c r="K44" s="12" t="s">
        <x:v>29</x:v>
      </x:c>
      <x:c r="L44" s="13">
        <x:v>0</x:v>
      </x:c>
      <x:c r="M44" s="13">
        <x:v>0</x:v>
      </x:c>
      <x:c r="N44" s="13">
        <x:f t="shared" si="3"/>
        <x:v>0</x:v>
      </x:c>
      <x:c r="O44" s="12" t="s">
        <x:v>215</x:v>
      </x:c>
      <x:c r="P44" s="15" t="s">
        <x:v>216</x:v>
      </x:c>
      <x:c r="Q44" s="15" t="s">
        <x:v>217</x:v>
      </x:c>
      <x:c r="R44" s="15" t="s">
        <x:v>30</x:v>
      </x:c>
      <x:c r="S44" s="13">
        <x:v>1</x:v>
      </x:c>
      <x:c r="T44" s="12" t="s">
        <x:v>58</x:v>
      </x:c>
    </x:row>
    <x:row r="45" ht="45" customHeight="1">
      <x:c r="A45" s="13">
        <x:v>41</x:v>
      </x:c>
      <x:c r="B45" s="12" t="s">
        <x:v>218</x:v>
      </x:c>
      <x:c r="C45" s="12" t="s">
        <x:v>219</x:v>
      </x:c>
      <x:c r="D45" s="12"/>
      <x:c r="E45" s="12" t="s">
        <x:v>6</x:v>
      </x:c>
      <x:c r="F45" s="12" t="s">
        <x:v>21</x:v>
      </x:c>
      <x:c r="G45" s="14" t="s">
        <x:v>66</x:v>
      </x:c>
      <x:c r="H45" s="14" t="str">
        <x:f t="shared" si="2"/>
        <x:v>Rare</x:v>
      </x:c>
      <x:c r="I45" s="13">
        <x:v>1</x:v>
      </x:c>
      <x:c r="J45" s="13">
        <x:v>1</x:v>
      </x:c>
      <x:c r="K45" s="12" t="s">
        <x:v>21</x:v>
      </x:c>
      <x:c r="L45" s="13">
        <x:v>0</x:v>
      </x:c>
      <x:c r="M45" s="13">
        <x:v>0</x:v>
      </x:c>
      <x:c r="N45" s="13">
        <x:f t="shared" si="3"/>
        <x:v>0</x:v>
      </x:c>
      <x:c r="O45" s="12" t="s">
        <x:v>215</x:v>
      </x:c>
      <x:c r="P45" s="15" t="s">
        <x:v>220</x:v>
      </x:c>
      <x:c r="Q45" s="15" t="s">
        <x:v>217</x:v>
      </x:c>
      <x:c r="R45" s="15"/>
      <x:c r="S45" s="13">
        <x:v>0</x:v>
      </x:c>
      <x:c r="T45" s="12" t="s">
        <x:v>58</x:v>
      </x:c>
    </x:row>
    <x:row r="46" ht="30" customHeight="1">
      <x:c r="A46" s="13">
        <x:v>42</x:v>
      </x:c>
      <x:c r="B46" s="12" t="s">
        <x:v>221</x:v>
      </x:c>
      <x:c r="C46" s="12" t="s">
        <x:v>222</x:v>
      </x:c>
      <x:c r="D46" s="12"/>
      <x:c r="E46" s="12" t="s">
        <x:v>6</x:v>
      </x:c>
      <x:c r="F46" s="12" t="s">
        <x:v>29</x:v>
      </x:c>
      <x:c r="G46" s="14" t="s">
        <x:v>66</x:v>
      </x:c>
      <x:c r="H46" s="14" t="str">
        <x:f t="shared" si="2"/>
        <x:v>Rare</x:v>
      </x:c>
      <x:c r="I46" s="13">
        <x:v>1</x:v>
      </x:c>
      <x:c r="J46" s="13">
        <x:v>1</x:v>
      </x:c>
      <x:c r="K46" s="12" t="s">
        <x:v>29</x:v>
      </x:c>
      <x:c r="L46" s="13">
        <x:v>0</x:v>
      </x:c>
      <x:c r="M46" s="13">
        <x:v>0</x:v>
      </x:c>
      <x:c r="N46" s="13">
        <x:f t="shared" si="3"/>
        <x:v>0</x:v>
      </x:c>
      <x:c r="O46" s="12" t="s">
        <x:v>215</x:v>
      </x:c>
      <x:c r="P46" s="15" t="s">
        <x:v>223</x:v>
      </x:c>
      <x:c r="Q46" s="15" t="s">
        <x:v>217</x:v>
      </x:c>
      <x:c r="R46" s="15" t="s">
        <x:v>30</x:v>
      </x:c>
      <x:c r="S46" s="13">
        <x:v>1</x:v>
      </x:c>
      <x:c r="T46" s="12" t="s">
        <x:v>58</x:v>
      </x:c>
    </x:row>
    <x:row r="47" ht="45" customHeight="1">
      <x:c r="A47" s="13">
        <x:v>43</x:v>
      </x:c>
      <x:c r="B47" s="12" t="s">
        <x:v>224</x:v>
      </x:c>
      <x:c r="C47" s="12" t="s">
        <x:v>225</x:v>
      </x:c>
      <x:c r="D47" s="12"/>
      <x:c r="E47" s="12" t="s">
        <x:v>6</x:v>
      </x:c>
      <x:c r="F47" s="12" t="s">
        <x:v>25</x:v>
      </x:c>
      <x:c r="G47" s="14" t="s">
        <x:v>66</x:v>
      </x:c>
      <x:c r="H47" s="14" t="str">
        <x:f t="shared" si="2"/>
        <x:v>Rare</x:v>
      </x:c>
      <x:c r="I47" s="13">
        <x:v>1</x:v>
      </x:c>
      <x:c r="J47" s="13">
        <x:v>1</x:v>
      </x:c>
      <x:c r="K47" s="12" t="s">
        <x:v>25</x:v>
      </x:c>
      <x:c r="L47" s="13">
        <x:v>0</x:v>
      </x:c>
      <x:c r="M47" s="13">
        <x:v>0</x:v>
      </x:c>
      <x:c r="N47" s="13">
        <x:f t="shared" si="3"/>
        <x:v>0</x:v>
      </x:c>
      <x:c r="O47" s="12" t="s">
        <x:v>215</x:v>
      </x:c>
      <x:c r="P47" s="15" t="s">
        <x:v>226</x:v>
      </x:c>
      <x:c r="Q47" s="15" t="s">
        <x:v>217</x:v>
      </x:c>
      <x:c r="R47" s="15"/>
      <x:c r="S47" s="13">
        <x:v>0</x:v>
      </x:c>
      <x:c r="T47" s="12" t="s">
        <x:v>58</x:v>
      </x:c>
    </x:row>
    <x:row r="48" ht="60" customHeight="1">
      <x:c r="A48" s="13">
        <x:v>44</x:v>
      </x:c>
      <x:c r="B48" s="12" t="s">
        <x:v>227</x:v>
      </x:c>
      <x:c r="C48" s="12" t="s">
        <x:v>228</x:v>
      </x:c>
      <x:c r="D48" s="12"/>
      <x:c r="E48" s="12" t="s">
        <x:v>6</x:v>
      </x:c>
      <x:c r="F48" s="12" t="s">
        <x:v>27</x:v>
      </x:c>
      <x:c r="G48" s="14" t="s">
        <x:v>66</x:v>
      </x:c>
      <x:c r="H48" s="14" t="str">
        <x:f t="shared" si="2"/>
        <x:v>Rare</x:v>
      </x:c>
      <x:c r="I48" s="13">
        <x:v>1</x:v>
      </x:c>
      <x:c r="J48" s="13">
        <x:v>1</x:v>
      </x:c>
      <x:c r="K48" s="12" t="s">
        <x:v>27</x:v>
      </x:c>
      <x:c r="L48" s="13">
        <x:v>0</x:v>
      </x:c>
      <x:c r="M48" s="13">
        <x:v>0</x:v>
      </x:c>
      <x:c r="N48" s="13">
        <x:f t="shared" si="3"/>
        <x:v>0</x:v>
      </x:c>
      <x:c r="O48" s="12"/>
      <x:c r="P48" s="15" t="s">
        <x:v>229</x:v>
      </x:c>
      <x:c r="Q48" s="15" t="s">
        <x:v>230</x:v>
      </x:c>
      <x:c r="R48" s="15" t="s">
        <x:v>28</x:v>
      </x:c>
      <x:c r="S48" s="13">
        <x:v>3</x:v>
      </x:c>
      <x:c r="T48" s="12" t="s">
        <x:v>58</x:v>
      </x:c>
    </x:row>
    <x:row r="49" ht="30" customHeight="1">
      <x:c r="A49" s="13">
        <x:v>45</x:v>
      </x:c>
      <x:c r="B49" s="12" t="s">
        <x:v>231</x:v>
      </x:c>
      <x:c r="C49" s="12" t="s">
        <x:v>232</x:v>
      </x:c>
      <x:c r="D49" s="12"/>
      <x:c r="E49" s="12" t="s">
        <x:v>6</x:v>
      </x:c>
      <x:c r="F49" s="12" t="s">
        <x:v>27</x:v>
      </x:c>
      <x:c r="G49" s="14" t="s">
        <x:v>57</x:v>
      </x:c>
      <x:c r="H49" s="14" t="str">
        <x:f t="shared" si="2"/>
        <x:v>Common</x:v>
      </x:c>
      <x:c r="I49" s="13">
        <x:v>2</x:v>
      </x:c>
      <x:c r="J49" s="13">
        <x:v>3</x:v>
      </x:c>
      <x:c r="K49" s="12" t="s">
        <x:v>27</x:v>
      </x:c>
      <x:c r="L49" s="13">
        <x:v>0</x:v>
      </x:c>
      <x:c r="M49" s="13">
        <x:v>0</x:v>
      </x:c>
      <x:c r="N49" s="13">
        <x:f t="shared" si="3"/>
        <x:v>0</x:v>
      </x:c>
      <x:c r="O49" s="12"/>
      <x:c r="P49" s="15"/>
      <x:c r="Q49" s="15"/>
      <x:c r="R49" s="15" t="s">
        <x:v>28</x:v>
      </x:c>
      <x:c r="S49" s="13">
        <x:v>3</x:v>
      </x:c>
      <x:c r="T49" s="12" t="s">
        <x:v>58</x:v>
      </x:c>
    </x:row>
    <x:row r="50" ht="30" customHeight="1">
      <x:c r="A50" s="13">
        <x:v>46</x:v>
      </x:c>
      <x:c r="B50" s="12" t="s">
        <x:v>233</x:v>
      </x:c>
      <x:c r="C50" s="12" t="s">
        <x:v>234</x:v>
      </x:c>
      <x:c r="D50" s="12"/>
      <x:c r="E50" s="12" t="s">
        <x:v>6</x:v>
      </x:c>
      <x:c r="F50" s="12" t="s">
        <x:v>27</x:v>
      </x:c>
      <x:c r="G50" s="14" t="s">
        <x:v>57</x:v>
      </x:c>
      <x:c r="H50" s="14" t="str">
        <x:f t="shared" si="2"/>
        <x:v>Common</x:v>
      </x:c>
      <x:c r="I50" s="13">
        <x:v>1</x:v>
      </x:c>
      <x:c r="J50" s="13">
        <x:v>2</x:v>
      </x:c>
      <x:c r="K50" s="12" t="s">
        <x:v>27</x:v>
      </x:c>
      <x:c r="L50" s="13">
        <x:v>0</x:v>
      </x:c>
      <x:c r="M50" s="13">
        <x:v>0</x:v>
      </x:c>
      <x:c r="N50" s="13">
        <x:f t="shared" si="3"/>
        <x:v>0</x:v>
      </x:c>
      <x:c r="O50" s="12"/>
      <x:c r="P50" s="15" t="s">
        <x:v>235</x:v>
      </x:c>
      <x:c r="Q50" s="15" t="s">
        <x:v>78</x:v>
      </x:c>
      <x:c r="R50" s="15" t="s">
        <x:v>28</x:v>
      </x:c>
      <x:c r="S50" s="13">
        <x:v>3</x:v>
      </x:c>
      <x:c r="T50" s="12" t="s">
        <x:v>58</x:v>
      </x:c>
    </x:row>
    <x:row r="51" ht="30" customHeight="1">
      <x:c r="A51" s="13">
        <x:v>47</x:v>
      </x:c>
      <x:c r="B51" s="12" t="s">
        <x:v>236</x:v>
      </x:c>
      <x:c r="C51" s="12" t="s">
        <x:v>237</x:v>
      </x:c>
      <x:c r="D51" s="12"/>
      <x:c r="E51" s="12" t="s">
        <x:v>6</x:v>
      </x:c>
      <x:c r="F51" s="12" t="s">
        <x:v>29</x:v>
      </x:c>
      <x:c r="G51" s="14" t="s">
        <x:v>57</x:v>
      </x:c>
      <x:c r="H51" s="14" t="str">
        <x:f t="shared" si="2"/>
        <x:v>Common</x:v>
      </x:c>
      <x:c r="I51" s="13">
        <x:v>2</x:v>
      </x:c>
      <x:c r="J51" s="13">
        <x:v>3</x:v>
      </x:c>
      <x:c r="K51" s="12" t="s">
        <x:v>29</x:v>
      </x:c>
      <x:c r="L51" s="13">
        <x:v>0</x:v>
      </x:c>
      <x:c r="M51" s="13">
        <x:v>0</x:v>
      </x:c>
      <x:c r="N51" s="13">
        <x:f t="shared" si="3"/>
        <x:v>0</x:v>
      </x:c>
      <x:c r="O51" s="12"/>
      <x:c r="P51" s="15"/>
      <x:c r="Q51" s="15"/>
      <x:c r="R51" s="15" t="s">
        <x:v>30</x:v>
      </x:c>
      <x:c r="S51" s="13">
        <x:v>3</x:v>
      </x:c>
      <x:c r="T51" s="12" t="s">
        <x:v>58</x:v>
      </x:c>
    </x:row>
    <x:row r="52" ht="30" customHeight="1">
      <x:c r="A52" s="13">
        <x:v>48</x:v>
      </x:c>
      <x:c r="B52" s="12" t="s">
        <x:v>238</x:v>
      </x:c>
      <x:c r="C52" s="12" t="s">
        <x:v>239</x:v>
      </x:c>
      <x:c r="D52" s="12" t="s">
        <x:v>240</x:v>
      </x:c>
      <x:c r="E52" s="12" t="s">
        <x:v>6</x:v>
      </x:c>
      <x:c r="F52" s="12" t="s">
        <x:v>29</x:v>
      </x:c>
      <x:c r="G52" s="14" t="s">
        <x:v>57</x:v>
      </x:c>
      <x:c r="H52" s="14" t="str">
        <x:f t="shared" si="2"/>
        <x:v>Common</x:v>
      </x:c>
      <x:c r="I52" s="13">
        <x:v>1</x:v>
      </x:c>
      <x:c r="J52" s="13">
        <x:v>2</x:v>
      </x:c>
      <x:c r="K52" s="12" t="s">
        <x:v>29</x:v>
      </x:c>
      <x:c r="L52" s="13">
        <x:v>0</x:v>
      </x:c>
      <x:c r="M52" s="13">
        <x:v>0</x:v>
      </x:c>
      <x:c r="N52" s="13">
        <x:f t="shared" si="3"/>
        <x:v>0</x:v>
      </x:c>
      <x:c r="O52" s="12"/>
      <x:c r="P52" s="15" t="s">
        <x:v>241</x:v>
      </x:c>
      <x:c r="Q52" s="15" t="s">
        <x:v>68</x:v>
      </x:c>
      <x:c r="R52" s="15" t="s">
        <x:v>30</x:v>
      </x:c>
      <x:c r="S52" s="13">
        <x:v>3</x:v>
      </x:c>
      <x:c r="T52" s="12" t="s">
        <x:v>58</x:v>
      </x:c>
    </x:row>
    <x:row r="53" ht="30" customHeight="1">
      <x:c r="A53" s="13">
        <x:v>49</x:v>
      </x:c>
      <x:c r="B53" s="12" t="s">
        <x:v>242</x:v>
      </x:c>
      <x:c r="C53" s="12" t="s">
        <x:v>243</x:v>
      </x:c>
      <x:c r="D53" s="12"/>
      <x:c r="E53" s="12" t="s">
        <x:v>6</x:v>
      </x:c>
      <x:c r="F53" s="12" t="s">
        <x:v>23</x:v>
      </x:c>
      <x:c r="G53" s="14" t="s">
        <x:v>57</x:v>
      </x:c>
      <x:c r="H53" s="14" t="str">
        <x:f t="shared" si="2"/>
        <x:v>Common</x:v>
      </x:c>
      <x:c r="I53" s="13">
        <x:v>1</x:v>
      </x:c>
      <x:c r="J53" s="13">
        <x:v>2</x:v>
      </x:c>
      <x:c r="K53" s="12" t="s">
        <x:v>23</x:v>
      </x:c>
      <x:c r="L53" s="13">
        <x:v>0</x:v>
      </x:c>
      <x:c r="M53" s="13">
        <x:v>0</x:v>
      </x:c>
      <x:c r="N53" s="13">
        <x:f t="shared" si="3"/>
        <x:v>0</x:v>
      </x:c>
      <x:c r="O53" s="12"/>
      <x:c r="P53" s="15" t="s">
        <x:v>244</x:v>
      </x:c>
      <x:c r="Q53" s="15" t="s">
        <x:v>197</x:v>
      </x:c>
      <x:c r="R53" s="15" t="s">
        <x:v>24</x:v>
      </x:c>
      <x:c r="S53" s="13">
        <x:v>3</x:v>
      </x:c>
      <x:c r="T53" s="12" t="s">
        <x:v>58</x:v>
      </x:c>
    </x:row>
    <x:row r="54" ht="30" customHeight="1">
      <x:c r="A54" s="13">
        <x:v>50</x:v>
      </x:c>
      <x:c r="B54" s="12" t="s">
        <x:v>245</x:v>
      </x:c>
      <x:c r="C54" s="12" t="s">
        <x:v>246</x:v>
      </x:c>
      <x:c r="D54" s="12"/>
      <x:c r="E54" s="12" t="s">
        <x:v>6</x:v>
      </x:c>
      <x:c r="F54" s="12" t="s">
        <x:v>23</x:v>
      </x:c>
      <x:c r="G54" s="14" t="s">
        <x:v>57</x:v>
      </x:c>
      <x:c r="H54" s="14" t="str">
        <x:f t="shared" si="2"/>
        <x:v>Common</x:v>
      </x:c>
      <x:c r="I54" s="13">
        <x:v>1</x:v>
      </x:c>
      <x:c r="J54" s="13">
        <x:v>2</x:v>
      </x:c>
      <x:c r="K54" s="12" t="s">
        <x:v>23</x:v>
      </x:c>
      <x:c r="L54" s="13">
        <x:v>0</x:v>
      </x:c>
      <x:c r="M54" s="13">
        <x:v>0</x:v>
      </x:c>
      <x:c r="N54" s="13">
        <x:f t="shared" si="3"/>
        <x:v>0</x:v>
      </x:c>
      <x:c r="O54" s="12" t="s">
        <x:v>247</x:v>
      </x:c>
      <x:c r="P54" s="15" t="s">
        <x:v>248</x:v>
      </x:c>
      <x:c r="Q54" s="15"/>
      <x:c r="R54" s="15" t="s">
        <x:v>24</x:v>
      </x:c>
      <x:c r="S54" s="13">
        <x:v>3</x:v>
      </x:c>
      <x:c r="T54" s="12" t="s">
        <x:v>58</x:v>
      </x:c>
    </x:row>
    <x:row r="55" ht="30" customHeight="1">
      <x:c r="A55" s="13">
        <x:v>51</x:v>
      </x:c>
      <x:c r="B55" s="12" t="s">
        <x:v>249</x:v>
      </x:c>
      <x:c r="C55" s="12" t="s">
        <x:v>250</x:v>
      </x:c>
      <x:c r="D55" s="12" t="s">
        <x:v>251</x:v>
      </x:c>
      <x:c r="E55" s="12" t="s">
        <x:v>6</x:v>
      </x:c>
      <x:c r="F55" s="12" t="s">
        <x:v>23</x:v>
      </x:c>
      <x:c r="G55" s="14" t="s">
        <x:v>57</x:v>
      </x:c>
      <x:c r="H55" s="14" t="str">
        <x:f t="shared" si="2"/>
        <x:v>Common</x:v>
      </x:c>
      <x:c r="I55" s="13">
        <x:v>2</x:v>
      </x:c>
      <x:c r="J55" s="13">
        <x:v>3</x:v>
      </x:c>
      <x:c r="K55" s="12" t="s">
        <x:v>23</x:v>
      </x:c>
      <x:c r="L55" s="13">
        <x:v>0</x:v>
      </x:c>
      <x:c r="M55" s="13">
        <x:v>0</x:v>
      </x:c>
      <x:c r="N55" s="13">
        <x:f t="shared" si="3"/>
        <x:v>0</x:v>
      </x:c>
      <x:c r="O55" s="12"/>
      <x:c r="P55" s="15"/>
      <x:c r="Q55" s="15"/>
      <x:c r="R55" s="15" t="s">
        <x:v>24</x:v>
      </x:c>
      <x:c r="S55" s="13">
        <x:v>3</x:v>
      </x:c>
      <x:c r="T55" s="12" t="s">
        <x:v>58</x:v>
      </x:c>
    </x:row>
    <x:row r="56" ht="30" customHeight="1">
      <x:c r="A56" s="13">
        <x:v>52</x:v>
      </x:c>
      <x:c r="B56" s="12" t="s">
        <x:v>252</x:v>
      </x:c>
      <x:c r="C56" s="12" t="s">
        <x:v>253</x:v>
      </x:c>
      <x:c r="D56" s="12" t="s">
        <x:v>254</x:v>
      </x:c>
      <x:c r="E56" s="12" t="s">
        <x:v>6</x:v>
      </x:c>
      <x:c r="F56" s="12" t="s">
        <x:v>23</x:v>
      </x:c>
      <x:c r="G56" s="14" t="s">
        <x:v>57</x:v>
      </x:c>
      <x:c r="H56" s="14" t="str">
        <x:f t="shared" si="2"/>
        <x:v>Common</x:v>
      </x:c>
      <x:c r="I56" s="13">
        <x:v>1</x:v>
      </x:c>
      <x:c r="J56" s="13">
        <x:v>1</x:v>
      </x:c>
      <x:c r="K56" s="12" t="s">
        <x:v>23</x:v>
      </x:c>
      <x:c r="L56" s="13">
        <x:v>0</x:v>
      </x:c>
      <x:c r="M56" s="13">
        <x:v>0</x:v>
      </x:c>
      <x:c r="N56" s="13">
        <x:f t="shared" si="3"/>
        <x:v>0</x:v>
      </x:c>
      <x:c r="O56" s="12"/>
      <x:c r="P56" s="15" t="s">
        <x:v>255</x:v>
      </x:c>
      <x:c r="Q56" s="15" t="s">
        <x:v>78</x:v>
      </x:c>
      <x:c r="R56" s="15" t="s">
        <x:v>24</x:v>
      </x:c>
      <x:c r="S56" s="13">
        <x:v>1</x:v>
      </x:c>
      <x:c r="T56" s="12" t="s">
        <x:v>58</x:v>
      </x:c>
    </x:row>
    <x:row r="57" ht="30" customHeight="1">
      <x:c r="A57" s="13">
        <x:v>53</x:v>
      </x:c>
      <x:c r="B57" s="12" t="s">
        <x:v>256</x:v>
      </x:c>
      <x:c r="C57" s="12" t="s">
        <x:v>257</x:v>
      </x:c>
      <x:c r="D57" s="12" t="s">
        <x:v>258</x:v>
      </x:c>
      <x:c r="E57" s="12" t="s">
        <x:v>6</x:v>
      </x:c>
      <x:c r="F57" s="12" t="s">
        <x:v>23</x:v>
      </x:c>
      <x:c r="G57" s="14" t="s">
        <x:v>66</x:v>
      </x:c>
      <x:c r="H57" s="14" t="str">
        <x:f t="shared" si="2"/>
        <x:v>Rare</x:v>
      </x:c>
      <x:c r="I57" s="13">
        <x:v>2</x:v>
      </x:c>
      <x:c r="J57" s="13">
        <x:v>1</x:v>
      </x:c>
      <x:c r="K57" s="12" t="s">
        <x:v>23</x:v>
      </x:c>
      <x:c r="L57" s="13">
        <x:v>0</x:v>
      </x:c>
      <x:c r="M57" s="13">
        <x:v>0</x:v>
      </x:c>
      <x:c r="N57" s="13">
        <x:f t="shared" si="3"/>
        <x:v>0</x:v>
      </x:c>
      <x:c r="O57" s="12"/>
      <x:c r="P57" s="15" t="s">
        <x:v>259</x:v>
      </x:c>
      <x:c r="Q57" s="15" t="s">
        <x:v>78</x:v>
      </x:c>
      <x:c r="R57" s="15" t="s">
        <x:v>24</x:v>
      </x:c>
      <x:c r="S57" s="13">
        <x:v>1</x:v>
      </x:c>
      <x:c r="T57" s="12" t="s">
        <x:v>58</x:v>
      </x:c>
    </x:row>
    <x:row r="58" ht="30" customHeight="1">
      <x:c r="A58" s="13">
        <x:v>54</x:v>
      </x:c>
      <x:c r="B58" s="12" t="s">
        <x:v>260</x:v>
      </x:c>
      <x:c r="C58" s="12" t="s">
        <x:v>261</x:v>
      </x:c>
      <x:c r="D58" s="12" t="s">
        <x:v>262</x:v>
      </x:c>
      <x:c r="E58" s="12" t="s">
        <x:v>6</x:v>
      </x:c>
      <x:c r="F58" s="12" t="s">
        <x:v>23</x:v>
      </x:c>
      <x:c r="G58" s="14" t="s">
        <x:v>66</x:v>
      </x:c>
      <x:c r="H58" s="14" t="str">
        <x:f t="shared" si="2"/>
        <x:v>Rare</x:v>
      </x:c>
      <x:c r="I58" s="13">
        <x:v>2</x:v>
      </x:c>
      <x:c r="J58" s="13">
        <x:v>1</x:v>
      </x:c>
      <x:c r="K58" s="12" t="s">
        <x:v>23</x:v>
      </x:c>
      <x:c r="L58" s="13">
        <x:v>0</x:v>
      </x:c>
      <x:c r="M58" s="13">
        <x:v>0</x:v>
      </x:c>
      <x:c r="N58" s="13">
        <x:f t="shared" si="3"/>
        <x:v>0</x:v>
      </x:c>
      <x:c r="O58" s="12"/>
      <x:c r="P58" s="15" t="s">
        <x:v>263</x:v>
      </x:c>
      <x:c r="Q58" s="15" t="s">
        <x:v>78</x:v>
      </x:c>
      <x:c r="R58" s="15"/>
      <x:c r="S58" s="13">
        <x:v>0</x:v>
      </x:c>
      <x:c r="T58" s="12" t="s">
        <x:v>58</x:v>
      </x:c>
    </x:row>
    <x:row r="59" ht="30" customHeight="1">
      <x:c r="A59" s="13">
        <x:v>55</x:v>
      </x:c>
      <x:c r="B59" s="12" t="s">
        <x:v>264</x:v>
      </x:c>
      <x:c r="C59" s="12" t="s">
        <x:v>265</x:v>
      </x:c>
      <x:c r="D59" s="12" t="s">
        <x:v>266</x:v>
      </x:c>
      <x:c r="E59" s="12" t="s">
        <x:v>6</x:v>
      </x:c>
      <x:c r="F59" s="12" t="s">
        <x:v>23</x:v>
      </x:c>
      <x:c r="G59" s="14" t="s">
        <x:v>57</x:v>
      </x:c>
      <x:c r="H59" s="14" t="str">
        <x:f t="shared" si="2"/>
        <x:v>Common</x:v>
      </x:c>
      <x:c r="I59" s="13">
        <x:v>2</x:v>
      </x:c>
      <x:c r="J59" s="13">
        <x:v>1</x:v>
      </x:c>
      <x:c r="K59" s="12" t="s">
        <x:v>23</x:v>
      </x:c>
      <x:c r="L59" s="13">
        <x:v>0</x:v>
      </x:c>
      <x:c r="M59" s="13">
        <x:v>0</x:v>
      </x:c>
      <x:c r="N59" s="13">
        <x:f t="shared" si="3"/>
        <x:v>0</x:v>
      </x:c>
      <x:c r="O59" s="12"/>
      <x:c r="P59" s="15" t="s">
        <x:v>267</x:v>
      </x:c>
      <x:c r="Q59" s="15" t="s">
        <x:v>78</x:v>
      </x:c>
      <x:c r="R59" s="15"/>
      <x:c r="S59" s="13">
        <x:v>0</x:v>
      </x:c>
      <x:c r="T59" s="12" t="s">
        <x:v>58</x:v>
      </x:c>
    </x:row>
    <x:row r="60" ht="30" customHeight="1">
      <x:c r="A60" s="13">
        <x:v>56</x:v>
      </x:c>
      <x:c r="B60" s="12" t="s">
        <x:v>268</x:v>
      </x:c>
      <x:c r="C60" s="12" t="s">
        <x:v>269</x:v>
      </x:c>
      <x:c r="D60" s="12" t="s">
        <x:v>270</x:v>
      </x:c>
      <x:c r="E60" s="12" t="s">
        <x:v>6</x:v>
      </x:c>
      <x:c r="F60" s="12" t="s">
        <x:v>23</x:v>
      </x:c>
      <x:c r="G60" s="14" t="s">
        <x:v>66</x:v>
      </x:c>
      <x:c r="H60" s="14" t="str">
        <x:f t="shared" si="2"/>
        <x:v>Rare</x:v>
      </x:c>
      <x:c r="I60" s="13">
        <x:v>1</x:v>
      </x:c>
      <x:c r="J60" s="13">
        <x:v>2</x:v>
      </x:c>
      <x:c r="K60" s="12" t="s">
        <x:v>23</x:v>
      </x:c>
      <x:c r="L60" s="13">
        <x:v>0</x:v>
      </x:c>
      <x:c r="M60" s="13">
        <x:v>0</x:v>
      </x:c>
      <x:c r="N60" s="13">
        <x:f t="shared" si="3"/>
        <x:v>0</x:v>
      </x:c>
      <x:c r="O60" s="12"/>
      <x:c r="P60" s="15" t="s">
        <x:v>271</x:v>
      </x:c>
      <x:c r="Q60" s="15" t="s">
        <x:v>78</x:v>
      </x:c>
      <x:c r="R60" s="15"/>
      <x:c r="S60" s="13">
        <x:v>0</x:v>
      </x:c>
      <x:c r="T60" s="12" t="s">
        <x:v>58</x:v>
      </x:c>
    </x:row>
    <x:row r="61" ht="30" customHeight="1">
      <x:c r="A61" s="13">
        <x:v>57</x:v>
      </x:c>
      <x:c r="B61" s="12" t="s">
        <x:v>272</x:v>
      </x:c>
      <x:c r="C61" s="12" t="s">
        <x:v>273</x:v>
      </x:c>
      <x:c r="D61" s="12"/>
      <x:c r="E61" s="12" t="s">
        <x:v>6</x:v>
      </x:c>
      <x:c r="F61" s="12" t="s">
        <x:v>25</x:v>
      </x:c>
      <x:c r="G61" s="14" t="s">
        <x:v>57</x:v>
      </x:c>
      <x:c r="H61" s="14" t="str">
        <x:f t="shared" si="2"/>
        <x:v>Common</x:v>
      </x:c>
      <x:c r="I61" s="13">
        <x:v>1</x:v>
      </x:c>
      <x:c r="J61" s="13">
        <x:v>2</x:v>
      </x:c>
      <x:c r="K61" s="12" t="s">
        <x:v>25</x:v>
      </x:c>
      <x:c r="L61" s="13">
        <x:v>0</x:v>
      </x:c>
      <x:c r="M61" s="13">
        <x:v>0</x:v>
      </x:c>
      <x:c r="N61" s="13">
        <x:f t="shared" si="3"/>
        <x:v>0</x:v>
      </x:c>
      <x:c r="O61" s="12"/>
      <x:c r="P61" s="15" t="s">
        <x:v>274</x:v>
      </x:c>
      <x:c r="Q61" s="15" t="s">
        <x:v>197</x:v>
      </x:c>
      <x:c r="R61" s="15" t="s">
        <x:v>26</x:v>
      </x:c>
      <x:c r="S61" s="13">
        <x:v>3</x:v>
      </x:c>
      <x:c r="T61" s="12" t="s">
        <x:v>58</x:v>
      </x:c>
    </x:row>
    <x:row r="62" ht="30" customHeight="1">
      <x:c r="A62" s="13">
        <x:v>58</x:v>
      </x:c>
      <x:c r="B62" s="12" t="s">
        <x:v>275</x:v>
      </x:c>
      <x:c r="C62" s="12" t="s">
        <x:v>276</x:v>
      </x:c>
      <x:c r="D62" s="12"/>
      <x:c r="E62" s="12" t="s">
        <x:v>6</x:v>
      </x:c>
      <x:c r="F62" s="12" t="s">
        <x:v>25</x:v>
      </x:c>
      <x:c r="G62" s="14" t="s">
        <x:v>57</x:v>
      </x:c>
      <x:c r="H62" s="14" t="str">
        <x:f t="shared" si="2"/>
        <x:v>Common</x:v>
      </x:c>
      <x:c r="I62" s="13">
        <x:v>2</x:v>
      </x:c>
      <x:c r="J62" s="13">
        <x:v>3</x:v>
      </x:c>
      <x:c r="K62" s="12" t="s">
        <x:v>25</x:v>
      </x:c>
      <x:c r="L62" s="13">
        <x:v>0</x:v>
      </x:c>
      <x:c r="M62" s="13">
        <x:v>0</x:v>
      </x:c>
      <x:c r="N62" s="13">
        <x:f t="shared" si="3"/>
        <x:v>0</x:v>
      </x:c>
      <x:c r="O62" s="12"/>
      <x:c r="P62" s="15"/>
      <x:c r="Q62" s="15"/>
      <x:c r="R62" s="15" t="s">
        <x:v>26</x:v>
      </x:c>
      <x:c r="S62" s="13">
        <x:v>3</x:v>
      </x:c>
      <x:c r="T62" s="12" t="s">
        <x:v>58</x:v>
      </x:c>
    </x:row>
    <x:row r="63" ht="30" customHeight="1">
      <x:c r="A63" s="13">
        <x:v>59</x:v>
      </x:c>
      <x:c r="B63" s="12" t="s">
        <x:v>277</x:v>
      </x:c>
      <x:c r="C63" s="12" t="s">
        <x:v>278</x:v>
      </x:c>
      <x:c r="D63" s="12"/>
      <x:c r="E63" s="12" t="s">
        <x:v>6</x:v>
      </x:c>
      <x:c r="F63" s="12" t="s">
        <x:v>25</x:v>
      </x:c>
      <x:c r="G63" s="14" t="s">
        <x:v>57</x:v>
      </x:c>
      <x:c r="H63" s="14" t="str">
        <x:f t="shared" si="2"/>
        <x:v>Common</x:v>
      </x:c>
      <x:c r="I63" s="13">
        <x:v>1</x:v>
      </x:c>
      <x:c r="J63" s="13">
        <x:v>1</x:v>
      </x:c>
      <x:c r="K63" s="12" t="s">
        <x:v>25</x:v>
      </x:c>
      <x:c r="L63" s="13">
        <x:v>0</x:v>
      </x:c>
      <x:c r="M63" s="13">
        <x:v>0</x:v>
      </x:c>
      <x:c r="N63" s="13">
        <x:f t="shared" si="3"/>
        <x:v>0</x:v>
      </x:c>
      <x:c r="O63" s="12"/>
      <x:c r="P63" s="15" t="s">
        <x:v>279</x:v>
      </x:c>
      <x:c r="Q63" s="15" t="s">
        <x:v>78</x:v>
      </x:c>
      <x:c r="R63" s="15" t="s">
        <x:v>26</x:v>
      </x:c>
      <x:c r="S63" s="13">
        <x:v>3</x:v>
      </x:c>
      <x:c r="T63" s="12" t="s">
        <x:v>58</x:v>
      </x:c>
    </x:row>
    <x:row r="64" ht="30" customHeight="1">
      <x:c r="A64" s="13">
        <x:v>60</x:v>
      </x:c>
      <x:c r="B64" s="12" t="s">
        <x:v>280</x:v>
      </x:c>
      <x:c r="C64" s="12" t="s">
        <x:v>281</x:v>
      </x:c>
      <x:c r="D64" s="12"/>
      <x:c r="E64" s="12" t="s">
        <x:v>6</x:v>
      </x:c>
      <x:c r="F64" s="12" t="s">
        <x:v>25</x:v>
      </x:c>
      <x:c r="G64" s="14" t="s">
        <x:v>57</x:v>
      </x:c>
      <x:c r="H64" s="14" t="str">
        <x:f t="shared" si="2"/>
        <x:v>Common</x:v>
      </x:c>
      <x:c r="I64" s="13">
        <x:v>1</x:v>
      </x:c>
      <x:c r="J64" s="13">
        <x:v>1</x:v>
      </x:c>
      <x:c r="K64" s="12" t="s">
        <x:v>25</x:v>
      </x:c>
      <x:c r="L64" s="13">
        <x:v>0</x:v>
      </x:c>
      <x:c r="M64" s="13">
        <x:v>0</x:v>
      </x:c>
      <x:c r="N64" s="13">
        <x:f t="shared" si="3"/>
        <x:v>0</x:v>
      </x:c>
      <x:c r="O64" s="12"/>
      <x:c r="P64" s="15" t="s">
        <x:v>282</x:v>
      </x:c>
      <x:c r="Q64" s="15" t="s">
        <x:v>113</x:v>
      </x:c>
      <x:c r="R64" s="15" t="s">
        <x:v>26</x:v>
      </x:c>
      <x:c r="S64" s="13">
        <x:v>1</x:v>
      </x:c>
      <x:c r="T64" s="12" t="s">
        <x:v>58</x:v>
      </x:c>
    </x:row>
    <x:row r="65" ht="30" customHeight="1">
      <x:c r="A65" s="13">
        <x:v>61</x:v>
      </x:c>
      <x:c r="B65" s="12" t="s">
        <x:v>283</x:v>
      </x:c>
      <x:c r="C65" s="12" t="s">
        <x:v>284</x:v>
      </x:c>
      <x:c r="D65" s="12" t="s">
        <x:v>285</x:v>
      </x:c>
      <x:c r="E65" s="12" t="s">
        <x:v>6</x:v>
      </x:c>
      <x:c r="F65" s="12" t="s">
        <x:v>25</x:v>
      </x:c>
      <x:c r="G65" s="14" t="s">
        <x:v>57</x:v>
      </x:c>
      <x:c r="H65" s="14" t="str">
        <x:f t="shared" si="2"/>
        <x:v>Common</x:v>
      </x:c>
      <x:c r="I65" s="13">
        <x:v>1</x:v>
      </x:c>
      <x:c r="J65" s="13">
        <x:v>2</x:v>
      </x:c>
      <x:c r="K65" s="12" t="s">
        <x:v>25</x:v>
      </x:c>
      <x:c r="L65" s="13">
        <x:v>0</x:v>
      </x:c>
      <x:c r="M65" s="13">
        <x:v>0</x:v>
      </x:c>
      <x:c r="N65" s="13">
        <x:f t="shared" si="3"/>
        <x:v>0</x:v>
      </x:c>
      <x:c r="O65" s="12" t="s">
        <x:v>286</x:v>
      </x:c>
      <x:c r="P65" s="15" t="s">
        <x:v>287</x:v>
      </x:c>
      <x:c r="Q65" s="15"/>
      <x:c r="R65" s="15" t="s">
        <x:v>26</x:v>
      </x:c>
      <x:c r="S65" s="13">
        <x:v>1</x:v>
      </x:c>
      <x:c r="T65" s="12" t="s">
        <x:v>58</x:v>
      </x:c>
    </x:row>
    <x:row r="66" ht="30" customHeight="1">
      <x:c r="A66" s="13">
        <x:v>62</x:v>
      </x:c>
      <x:c r="B66" s="12" t="s">
        <x:v>288</x:v>
      </x:c>
      <x:c r="C66" s="12" t="s">
        <x:v>289</x:v>
      </x:c>
      <x:c r="D66" s="12"/>
      <x:c r="E66" s="12" t="s">
        <x:v>6</x:v>
      </x:c>
      <x:c r="F66" s="12" t="s">
        <x:v>25</x:v>
      </x:c>
      <x:c r="G66" s="14" t="s">
        <x:v>66</x:v>
      </x:c>
      <x:c r="H66" s="14" t="str">
        <x:f t="shared" si="2"/>
        <x:v>Rare</x:v>
      </x:c>
      <x:c r="I66" s="13">
        <x:v>1</x:v>
      </x:c>
      <x:c r="J66" s="13">
        <x:v>2</x:v>
      </x:c>
      <x:c r="K66" s="12" t="s">
        <x:v>25</x:v>
      </x:c>
      <x:c r="L66" s="13">
        <x:v>0</x:v>
      </x:c>
      <x:c r="M66" s="13">
        <x:v>0</x:v>
      </x:c>
      <x:c r="N66" s="13">
        <x:f t="shared" si="3"/>
        <x:v>0</x:v>
      </x:c>
      <x:c r="O66" s="12"/>
      <x:c r="P66" s="15" t="s">
        <x:v>290</x:v>
      </x:c>
      <x:c r="Q66" s="15" t="s">
        <x:v>78</x:v>
      </x:c>
      <x:c r="R66" s="15"/>
      <x:c r="S66" s="13">
        <x:v>0</x:v>
      </x:c>
      <x:c r="T66" s="12" t="s">
        <x:v>58</x:v>
      </x:c>
    </x:row>
    <x:row r="67" ht="30" customHeight="1">
      <x:c r="A67" s="13">
        <x:v>63</x:v>
      </x:c>
      <x:c r="B67" s="12" t="s">
        <x:v>291</x:v>
      </x:c>
      <x:c r="C67" s="12" t="s">
        <x:v>292</x:v>
      </x:c>
      <x:c r="D67" s="12"/>
      <x:c r="E67" s="12" t="s">
        <x:v>6</x:v>
      </x:c>
      <x:c r="F67" s="12" t="s">
        <x:v>25</x:v>
      </x:c>
      <x:c r="G67" s="14" t="s">
        <x:v>66</x:v>
      </x:c>
      <x:c r="H67" s="14" t="str">
        <x:f t="shared" si="2"/>
        <x:v>Rare</x:v>
      </x:c>
      <x:c r="I67" s="13">
        <x:v>1</x:v>
      </x:c>
      <x:c r="J67" s="13">
        <x:v>2</x:v>
      </x:c>
      <x:c r="K67" s="12" t="s">
        <x:v>25</x:v>
      </x:c>
      <x:c r="L67" s="13">
        <x:v>0</x:v>
      </x:c>
      <x:c r="M67" s="13">
        <x:v>0</x:v>
      </x:c>
      <x:c r="N67" s="13">
        <x:f t="shared" si="3"/>
        <x:v>0</x:v>
      </x:c>
      <x:c r="O67" s="12"/>
      <x:c r="P67" s="15" t="s">
        <x:v>293</x:v>
      </x:c>
      <x:c r="Q67" s="15" t="s">
        <x:v>78</x:v>
      </x:c>
      <x:c r="R67" s="15"/>
      <x:c r="S67" s="13">
        <x:v>0</x:v>
      </x:c>
      <x:c r="T67" s="12" t="s">
        <x:v>58</x:v>
      </x:c>
    </x:row>
    <x:row r="68" ht="30" customHeight="1">
      <x:c r="A68" s="13">
        <x:v>64</x:v>
      </x:c>
      <x:c r="B68" s="12" t="s">
        <x:v>294</x:v>
      </x:c>
      <x:c r="C68" s="12" t="s">
        <x:v>295</x:v>
      </x:c>
      <x:c r="D68" s="12"/>
      <x:c r="E68" s="12" t="s">
        <x:v>6</x:v>
      </x:c>
      <x:c r="F68" s="12" t="s">
        <x:v>25</x:v>
      </x:c>
      <x:c r="G68" s="14" t="s">
        <x:v>66</x:v>
      </x:c>
      <x:c r="H68" s="14" t="str">
        <x:f t="shared" si="2"/>
        <x:v>Rare</x:v>
      </x:c>
      <x:c r="I68" s="13">
        <x:v>1</x:v>
      </x:c>
      <x:c r="J68" s="13">
        <x:v>2</x:v>
      </x:c>
      <x:c r="K68" s="12" t="s">
        <x:v>25</x:v>
      </x:c>
      <x:c r="L68" s="13">
        <x:v>0</x:v>
      </x:c>
      <x:c r="M68" s="13">
        <x:v>0</x:v>
      </x:c>
      <x:c r="N68" s="13">
        <x:f t="shared" si="3"/>
        <x:v>0</x:v>
      </x:c>
      <x:c r="O68" s="12"/>
      <x:c r="P68" s="15" t="s">
        <x:v>296</x:v>
      </x:c>
      <x:c r="Q68" s="15" t="s">
        <x:v>78</x:v>
      </x:c>
      <x:c r="R68" s="15"/>
      <x:c r="S68" s="13">
        <x:v>0</x:v>
      </x:c>
      <x:c r="T68" s="12" t="s">
        <x:v>58</x:v>
      </x:c>
    </x:row>
    <x:row r="69" ht="30" customHeight="1">
      <x:c r="A69" s="13">
        <x:v>65</x:v>
      </x:c>
      <x:c r="B69" s="12" t="s">
        <x:v>297</x:v>
      </x:c>
      <x:c r="C69" s="12" t="s">
        <x:v>298</x:v>
      </x:c>
      <x:c r="D69" s="12"/>
      <x:c r="E69" s="12" t="s">
        <x:v>12</x:v>
      </x:c>
      <x:c r="F69" s="12" t="s">
        <x:v>31</x:v>
      </x:c>
      <x:c r="G69" s="14" t="s">
        <x:v>57</x:v>
      </x:c>
      <x:c r="H69" s="14" t="str">
        <x:f t="shared" ref="H69:H92" si="4">IF(E69="Chef","Mythic",IF(G69="Yes","Rare",IF(OR(E69="Meal",E69="Spice",E69="Environment"),"Uncommon","Common")))</x:f>
        <x:v>Common</x:v>
      </x:c>
      <x:c r="I69" s="13"/>
      <x:c r="J69" s="13"/>
      <x:c r="K69" s="12"/>
      <x:c r="L69" s="13">
        <x:v>0</x:v>
      </x:c>
      <x:c r="M69" s="13">
        <x:v>1</x:v>
      </x:c>
      <x:c r="N69" s="13" t="n">
        <x:f t="shared" ref="N69:N92" si="5">IF(E69="Meal",L69,M69)</x:f>
        <x:v>1</x:v>
      </x:c>
      <x:c r="O69" s="12"/>
      <x:c r="P69" s="15" t="s">
        <x:v>299</x:v>
      </x:c>
      <x:c r="Q69" s="15" t="s">
        <x:v>300</x:v>
      </x:c>
      <x:c r="R69" s="15" t="s">
        <x:v>22</x:v>
      </x:c>
      <x:c r="S69" s="13">
        <x:v>1</x:v>
      </x:c>
      <x:c r="T69" s="12" t="s">
        <x:v>58</x:v>
      </x:c>
    </x:row>
    <x:row r="70" ht="30" customHeight="1">
      <x:c r="A70" s="13">
        <x:v>66</x:v>
      </x:c>
      <x:c r="B70" s="12" t="s">
        <x:v>301</x:v>
      </x:c>
      <x:c r="C70" s="12" t="s">
        <x:v>302</x:v>
      </x:c>
      <x:c r="D70" s="12"/>
      <x:c r="E70" s="12" t="s">
        <x:v>12</x:v>
      </x:c>
      <x:c r="F70" s="12" t="s">
        <x:v>31</x:v>
      </x:c>
      <x:c r="G70" s="14" t="s">
        <x:v>57</x:v>
      </x:c>
      <x:c r="H70" s="14" t="str">
        <x:f t="shared" si="4"/>
        <x:v>Common</x:v>
      </x:c>
      <x:c r="I70" s="13"/>
      <x:c r="J70" s="13"/>
      <x:c r="K70" s="12"/>
      <x:c r="L70" s="13">
        <x:v>0</x:v>
      </x:c>
      <x:c r="M70" s="13">
        <x:v>1</x:v>
      </x:c>
      <x:c r="N70" s="13">
        <x:f t="shared" si="5"/>
        <x:v>1</x:v>
      </x:c>
      <x:c r="O70" s="12"/>
      <x:c r="P70" s="15" t="s">
        <x:v>303</x:v>
      </x:c>
      <x:c r="Q70" s="15" t="s">
        <x:v>300</x:v>
      </x:c>
      <x:c r="R70" s="15" t="s">
        <x:v>26</x:v>
      </x:c>
      <x:c r="S70" s="13">
        <x:v>1</x:v>
      </x:c>
      <x:c r="T70" s="12" t="s">
        <x:v>58</x:v>
      </x:c>
    </x:row>
    <x:row r="71" ht="30" customHeight="1">
      <x:c r="A71" s="13">
        <x:v>67</x:v>
      </x:c>
      <x:c r="B71" s="12" t="s">
        <x:v>304</x:v>
      </x:c>
      <x:c r="C71" s="12" t="s">
        <x:v>305</x:v>
      </x:c>
      <x:c r="D71" s="12"/>
      <x:c r="E71" s="12" t="s">
        <x:v>12</x:v>
      </x:c>
      <x:c r="F71" s="12" t="s">
        <x:v>31</x:v>
      </x:c>
      <x:c r="G71" s="14" t="s">
        <x:v>57</x:v>
      </x:c>
      <x:c r="H71" s="14" t="str">
        <x:f t="shared" si="4"/>
        <x:v>Common</x:v>
      </x:c>
      <x:c r="I71" s="13"/>
      <x:c r="J71" s="13"/>
      <x:c r="K71" s="12"/>
      <x:c r="L71" s="13">
        <x:v>0</x:v>
      </x:c>
      <x:c r="M71" s="13">
        <x:v>1</x:v>
      </x:c>
      <x:c r="N71" s="13">
        <x:f t="shared" si="5"/>
        <x:v>1</x:v>
      </x:c>
      <x:c r="O71" s="12"/>
      <x:c r="P71" s="15" t="s">
        <x:v>306</x:v>
      </x:c>
      <x:c r="Q71" s="15" t="s">
        <x:v>300</x:v>
      </x:c>
      <x:c r="R71" s="15" t="s">
        <x:v>24</x:v>
      </x:c>
      <x:c r="S71" s="13">
        <x:v>1</x:v>
      </x:c>
      <x:c r="T71" s="12" t="s">
        <x:v>58</x:v>
      </x:c>
    </x:row>
    <x:row r="72" ht="30" customHeight="1">
      <x:c r="A72" s="13">
        <x:v>68</x:v>
      </x:c>
      <x:c r="B72" s="12" t="s">
        <x:v>307</x:v>
      </x:c>
      <x:c r="C72" s="12" t="s">
        <x:v>308</x:v>
      </x:c>
      <x:c r="D72" s="12"/>
      <x:c r="E72" s="12" t="s">
        <x:v>12</x:v>
      </x:c>
      <x:c r="F72" s="12" t="s">
        <x:v>31</x:v>
      </x:c>
      <x:c r="G72" s="14" t="s">
        <x:v>57</x:v>
      </x:c>
      <x:c r="H72" s="14" t="str">
        <x:f t="shared" si="4"/>
        <x:v>Common</x:v>
      </x:c>
      <x:c r="I72" s="13"/>
      <x:c r="J72" s="13"/>
      <x:c r="K72" s="12"/>
      <x:c r="L72" s="13">
        <x:v>0</x:v>
      </x:c>
      <x:c r="M72" s="13">
        <x:v>1</x:v>
      </x:c>
      <x:c r="N72" s="13">
        <x:f t="shared" si="5"/>
        <x:v>1</x:v>
      </x:c>
      <x:c r="O72" s="12"/>
      <x:c r="P72" s="15" t="s">
        <x:v>309</x:v>
      </x:c>
      <x:c r="Q72" s="15" t="s">
        <x:v>300</x:v>
      </x:c>
      <x:c r="R72" s="15" t="s">
        <x:v>28</x:v>
      </x:c>
      <x:c r="S72" s="13">
        <x:v>1</x:v>
      </x:c>
      <x:c r="T72" s="12" t="s">
        <x:v>58</x:v>
      </x:c>
    </x:row>
    <x:row r="73" ht="30" customHeight="1">
      <x:c r="A73" s="13">
        <x:v>69</x:v>
      </x:c>
      <x:c r="B73" s="12" t="s">
        <x:v>310</x:v>
      </x:c>
      <x:c r="C73" s="12" t="s">
        <x:v>311</x:v>
      </x:c>
      <x:c r="D73" s="12"/>
      <x:c r="E73" s="12" t="s">
        <x:v>12</x:v>
      </x:c>
      <x:c r="F73" s="12" t="s">
        <x:v>31</x:v>
      </x:c>
      <x:c r="G73" s="14" t="s">
        <x:v>57</x:v>
      </x:c>
      <x:c r="H73" s="14" t="str">
        <x:f t="shared" si="4"/>
        <x:v>Common</x:v>
      </x:c>
      <x:c r="I73" s="13"/>
      <x:c r="J73" s="13"/>
      <x:c r="K73" s="12"/>
      <x:c r="L73" s="13">
        <x:v>0</x:v>
      </x:c>
      <x:c r="M73" s="13">
        <x:v>1</x:v>
      </x:c>
      <x:c r="N73" s="13">
        <x:f t="shared" si="5"/>
        <x:v>1</x:v>
      </x:c>
      <x:c r="O73" s="12"/>
      <x:c r="P73" s="15" t="s">
        <x:v>312</x:v>
      </x:c>
      <x:c r="Q73" s="15" t="s">
        <x:v>300</x:v>
      </x:c>
      <x:c r="R73" s="15" t="s">
        <x:v>30</x:v>
      </x:c>
      <x:c r="S73" s="13">
        <x:v>1</x:v>
      </x:c>
      <x:c r="T73" s="12" t="s">
        <x:v>58</x:v>
      </x:c>
    </x:row>
    <x:row r="74" ht="30" customHeight="1">
      <x:c r="A74" s="13">
        <x:v>70</x:v>
      </x:c>
      <x:c r="B74" s="12" t="s">
        <x:v>313</x:v>
      </x:c>
      <x:c r="C74" s="12" t="s">
        <x:v>314</x:v>
      </x:c>
      <x:c r="D74" s="12"/>
      <x:c r="E74" s="12" t="s">
        <x:v>12</x:v>
      </x:c>
      <x:c r="F74" s="12" t="s">
        <x:v>31</x:v>
      </x:c>
      <x:c r="G74" s="14" t="s">
        <x:v>57</x:v>
      </x:c>
      <x:c r="H74" s="14" t="str">
        <x:f t="shared" si="4"/>
        <x:v>Common</x:v>
      </x:c>
      <x:c r="I74" s="13"/>
      <x:c r="J74" s="13"/>
      <x:c r="K74" s="12"/>
      <x:c r="L74" s="13">
        <x:v>0</x:v>
      </x:c>
      <x:c r="M74" s="13">
        <x:v>2</x:v>
      </x:c>
      <x:c r="N74" s="13">
        <x:f t="shared" si="5"/>
        <x:v>2</x:v>
      </x:c>
      <x:c r="O74" s="12"/>
      <x:c r="P74" s="15" t="s">
        <x:v>315</x:v>
      </x:c>
      <x:c r="Q74" s="15" t="s">
        <x:v>300</x:v>
      </x:c>
      <x:c r="R74" s="15" t="s">
        <x:v>316</x:v>
      </x:c>
      <x:c r="S74" s="13">
        <x:v>13</x:v>
      </x:c>
      <x:c r="T74" s="12" t="s">
        <x:v>58</x:v>
      </x:c>
    </x:row>
    <x:row r="75" ht="30" customHeight="1">
      <x:c r="A75" s="13">
        <x:v>71</x:v>
      </x:c>
      <x:c r="B75" s="12" t="s">
        <x:v>317</x:v>
      </x:c>
      <x:c r="C75" s="12" t="s">
        <x:v>318</x:v>
      </x:c>
      <x:c r="D75" s="12"/>
      <x:c r="E75" s="12" t="s">
        <x:v>12</x:v>
      </x:c>
      <x:c r="F75" s="12" t="s">
        <x:v>31</x:v>
      </x:c>
      <x:c r="G75" s="14" t="s">
        <x:v>57</x:v>
      </x:c>
      <x:c r="H75" s="14" t="str">
        <x:f t="shared" si="4"/>
        <x:v>Common</x:v>
      </x:c>
      <x:c r="I75" s="13"/>
      <x:c r="J75" s="13"/>
      <x:c r="K75" s="12"/>
      <x:c r="L75" s="13">
        <x:v>0</x:v>
      </x:c>
      <x:c r="M75" s="13">
        <x:v>0</x:v>
      </x:c>
      <x:c r="N75" s="13">
        <x:f t="shared" si="5"/>
        <x:v>0</x:v>
      </x:c>
      <x:c r="O75" s="12"/>
      <x:c r="P75" s="15" t="s">
        <x:v>319</x:v>
      </x:c>
      <x:c r="Q75" s="15" t="s">
        <x:v>300</x:v>
      </x:c>
      <x:c r="R75" s="15"/>
      <x:c r="S75" s="13">
        <x:v>0</x:v>
      </x:c>
      <x:c r="T75" s="12" t="s">
        <x:v>58</x:v>
      </x:c>
    </x:row>
    <x:row r="76" ht="30" customHeight="1">
      <x:c r="A76" s="13">
        <x:v>72</x:v>
      </x:c>
      <x:c r="B76" s="12" t="s">
        <x:v>320</x:v>
      </x:c>
      <x:c r="C76" s="12" t="s">
        <x:v>321</x:v>
      </x:c>
      <x:c r="D76" s="12"/>
      <x:c r="E76" s="12" t="s">
        <x:v>12</x:v>
      </x:c>
      <x:c r="F76" s="12" t="s">
        <x:v>31</x:v>
      </x:c>
      <x:c r="G76" s="14" t="s">
        <x:v>57</x:v>
      </x:c>
      <x:c r="H76" s="14" t="str">
        <x:f t="shared" si="4"/>
        <x:v>Common</x:v>
      </x:c>
      <x:c r="I76" s="13"/>
      <x:c r="J76" s="13"/>
      <x:c r="K76" s="12"/>
      <x:c r="L76" s="13">
        <x:v>0</x:v>
      </x:c>
      <x:c r="M76" s="13">
        <x:v>0</x:v>
      </x:c>
      <x:c r="N76" s="13">
        <x:f t="shared" si="5"/>
        <x:v>0</x:v>
      </x:c>
      <x:c r="O76" s="12"/>
      <x:c r="P76" s="15" t="s">
        <x:v>322</x:v>
      </x:c>
      <x:c r="Q76" s="15" t="s">
        <x:v>300</x:v>
      </x:c>
      <x:c r="R76" s="15" t="s">
        <x:v>316</x:v>
      </x:c>
      <x:c r="S76" s="13">
        <x:v>8</x:v>
      </x:c>
      <x:c r="T76" s="12" t="s">
        <x:v>58</x:v>
      </x:c>
    </x:row>
    <x:row r="77" ht="30" customHeight="1">
      <x:c r="A77" s="13">
        <x:v>73</x:v>
      </x:c>
      <x:c r="B77" s="12" t="s">
        <x:v>323</x:v>
      </x:c>
      <x:c r="C77" s="12" t="s">
        <x:v>324</x:v>
      </x:c>
      <x:c r="D77" s="12"/>
      <x:c r="E77" s="12" t="s">
        <x:v>12</x:v>
      </x:c>
      <x:c r="F77" s="12" t="s">
        <x:v>31</x:v>
      </x:c>
      <x:c r="G77" s="14" t="s">
        <x:v>57</x:v>
      </x:c>
      <x:c r="H77" s="14" t="str">
        <x:f t="shared" si="4"/>
        <x:v>Common</x:v>
      </x:c>
      <x:c r="I77" s="13"/>
      <x:c r="J77" s="13"/>
      <x:c r="K77" s="12"/>
      <x:c r="L77" s="13">
        <x:v>0</x:v>
      </x:c>
      <x:c r="M77" s="13">
        <x:v>0</x:v>
      </x:c>
      <x:c r="N77" s="13">
        <x:f t="shared" si="5"/>
        <x:v>0</x:v>
      </x:c>
      <x:c r="O77" s="12"/>
      <x:c r="P77" s="15" t="s">
        <x:v>325</x:v>
      </x:c>
      <x:c r="Q77" s="15" t="s">
        <x:v>300</x:v>
      </x:c>
      <x:c r="R77" s="15"/>
      <x:c r="S77" s="13">
        <x:v>0</x:v>
      </x:c>
      <x:c r="T77" s="12" t="s">
        <x:v>58</x:v>
      </x:c>
    </x:row>
    <x:row r="78" ht="30" customHeight="1">
      <x:c r="A78" s="13">
        <x:v>74</x:v>
      </x:c>
      <x:c r="B78" s="12" t="s">
        <x:v>326</x:v>
      </x:c>
      <x:c r="C78" s="12" t="s">
        <x:v>327</x:v>
      </x:c>
      <x:c r="D78" s="12"/>
      <x:c r="E78" s="12" t="s">
        <x:v>12</x:v>
      </x:c>
      <x:c r="F78" s="12" t="s">
        <x:v>31</x:v>
      </x:c>
      <x:c r="G78" s="14" t="s">
        <x:v>57</x:v>
      </x:c>
      <x:c r="H78" s="14" t="str">
        <x:f t="shared" si="4"/>
        <x:v>Common</x:v>
      </x:c>
      <x:c r="I78" s="13"/>
      <x:c r="J78" s="13"/>
      <x:c r="K78" s="12"/>
      <x:c r="L78" s="13">
        <x:v>0</x:v>
      </x:c>
      <x:c r="M78" s="13">
        <x:v>0</x:v>
      </x:c>
      <x:c r="N78" s="13">
        <x:f t="shared" si="5"/>
        <x:v>0</x:v>
      </x:c>
      <x:c r="O78" s="12"/>
      <x:c r="P78" s="15" t="s">
        <x:v>328</x:v>
      </x:c>
      <x:c r="Q78" s="15" t="s">
        <x:v>300</x:v>
      </x:c>
      <x:c r="R78" s="15" t="s">
        <x:v>329</x:v>
      </x:c>
      <x:c r="S78" s="13">
        <x:v>4</x:v>
      </x:c>
      <x:c r="T78" s="12" t="s">
        <x:v>58</x:v>
      </x:c>
    </x:row>
    <x:row r="79" ht="30" customHeight="1">
      <x:c r="A79" s="13">
        <x:v>75</x:v>
      </x:c>
      <x:c r="B79" s="12" t="s">
        <x:v>330</x:v>
      </x:c>
      <x:c r="C79" s="12" t="s">
        <x:v>331</x:v>
      </x:c>
      <x:c r="D79" s="12"/>
      <x:c r="E79" s="12" t="s">
        <x:v>12</x:v>
      </x:c>
      <x:c r="F79" s="12" t="s">
        <x:v>31</x:v>
      </x:c>
      <x:c r="G79" s="14" t="s">
        <x:v>57</x:v>
      </x:c>
      <x:c r="H79" s="14" t="str">
        <x:f t="shared" si="4"/>
        <x:v>Common</x:v>
      </x:c>
      <x:c r="I79" s="13"/>
      <x:c r="J79" s="13"/>
      <x:c r="K79" s="12"/>
      <x:c r="L79" s="13">
        <x:v>0</x:v>
      </x:c>
      <x:c r="M79" s="13">
        <x:v>0</x:v>
      </x:c>
      <x:c r="N79" s="13">
        <x:f t="shared" si="5"/>
        <x:v>0</x:v>
      </x:c>
      <x:c r="O79" s="12"/>
      <x:c r="P79" s="15" t="s">
        <x:v>332</x:v>
      </x:c>
      <x:c r="Q79" s="15" t="s">
        <x:v>300</x:v>
      </x:c>
      <x:c r="R79" s="15"/>
      <x:c r="S79" s="13">
        <x:v>0</x:v>
      </x:c>
      <x:c r="T79" s="12" t="s">
        <x:v>58</x:v>
      </x:c>
    </x:row>
    <x:row r="80" ht="30" customHeight="1">
      <x:c r="A80" s="13">
        <x:v>76</x:v>
      </x:c>
      <x:c r="B80" s="12" t="s">
        <x:v>333</x:v>
      </x:c>
      <x:c r="C80" s="12" t="s">
        <x:v>334</x:v>
      </x:c>
      <x:c r="D80" s="12"/>
      <x:c r="E80" s="12" t="s">
        <x:v>12</x:v>
      </x:c>
      <x:c r="F80" s="12" t="s">
        <x:v>31</x:v>
      </x:c>
      <x:c r="G80" s="14" t="s">
        <x:v>57</x:v>
      </x:c>
      <x:c r="H80" s="14" t="str">
        <x:f t="shared" si="4"/>
        <x:v>Common</x:v>
      </x:c>
      <x:c r="I80" s="13"/>
      <x:c r="J80" s="13"/>
      <x:c r="K80" s="12"/>
      <x:c r="L80" s="13">
        <x:v>0</x:v>
      </x:c>
      <x:c r="M80" s="13">
        <x:v>0</x:v>
      </x:c>
      <x:c r="N80" s="13">
        <x:f t="shared" si="5"/>
        <x:v>0</x:v>
      </x:c>
      <x:c r="O80" s="12"/>
      <x:c r="P80" s="15" t="s">
        <x:v>335</x:v>
      </x:c>
      <x:c r="Q80" s="15" t="s">
        <x:v>300</x:v>
      </x:c>
      <x:c r="R80" s="15"/>
      <x:c r="S80" s="13">
        <x:v>0</x:v>
      </x:c>
      <x:c r="T80" s="12" t="s">
        <x:v>58</x:v>
      </x:c>
    </x:row>
    <x:row r="81" ht="30" customHeight="1">
      <x:c r="A81" s="13">
        <x:v>77</x:v>
      </x:c>
      <x:c r="B81" s="12" t="s">
        <x:v>336</x:v>
      </x:c>
      <x:c r="C81" s="12" t="s">
        <x:v>337</x:v>
      </x:c>
      <x:c r="D81" s="12"/>
      <x:c r="E81" s="12" t="s">
        <x:v>12</x:v>
      </x:c>
      <x:c r="F81" s="12" t="s">
        <x:v>31</x:v>
      </x:c>
      <x:c r="G81" s="14" t="s">
        <x:v>57</x:v>
      </x:c>
      <x:c r="H81" s="14" t="str">
        <x:f t="shared" si="4"/>
        <x:v>Common</x:v>
      </x:c>
      <x:c r="I81" s="13"/>
      <x:c r="J81" s="13"/>
      <x:c r="K81" s="12"/>
      <x:c r="L81" s="13">
        <x:v>0</x:v>
      </x:c>
      <x:c r="M81" s="13">
        <x:v>2</x:v>
      </x:c>
      <x:c r="N81" s="13">
        <x:f t="shared" si="5"/>
        <x:v>2</x:v>
      </x:c>
      <x:c r="O81" s="12"/>
      <x:c r="P81" s="15" t="s">
        <x:v>338</x:v>
      </x:c>
      <x:c r="Q81" s="15" t="s">
        <x:v>300</x:v>
      </x:c>
      <x:c r="R81" s="15"/>
      <x:c r="S81" s="13">
        <x:v>0</x:v>
      </x:c>
      <x:c r="T81" s="12" t="s">
        <x:v>58</x:v>
      </x:c>
    </x:row>
    <x:row r="82" ht="30" customHeight="1">
      <x:c r="A82" s="13">
        <x:v>78</x:v>
      </x:c>
      <x:c r="B82" s="12" t="s">
        <x:v>339</x:v>
      </x:c>
      <x:c r="C82" s="12" t="s">
        <x:v>340</x:v>
      </x:c>
      <x:c r="D82" s="12"/>
      <x:c r="E82" s="12" t="s">
        <x:v>12</x:v>
      </x:c>
      <x:c r="F82" s="12" t="s">
        <x:v>31</x:v>
      </x:c>
      <x:c r="G82" s="14" t="s">
        <x:v>57</x:v>
      </x:c>
      <x:c r="H82" s="14" t="str">
        <x:f t="shared" si="4"/>
        <x:v>Common</x:v>
      </x:c>
      <x:c r="I82" s="13"/>
      <x:c r="J82" s="13"/>
      <x:c r="K82" s="12"/>
      <x:c r="L82" s="13">
        <x:v>0</x:v>
      </x:c>
      <x:c r="M82" s="13">
        <x:v>0</x:v>
      </x:c>
      <x:c r="N82" s="13">
        <x:f t="shared" si="5"/>
        <x:v>0</x:v>
      </x:c>
      <x:c r="O82" s="12"/>
      <x:c r="P82" s="15" t="s">
        <x:v>341</x:v>
      </x:c>
      <x:c r="Q82" s="15" t="s">
        <x:v>300</x:v>
      </x:c>
      <x:c r="R82" s="15" t="s">
        <x:v>316</x:v>
      </x:c>
      <x:c r="S82" s="13">
        <x:v>15</x:v>
      </x:c>
      <x:c r="T82" s="12" t="s">
        <x:v>58</x:v>
      </x:c>
    </x:row>
    <x:row r="83" ht="30" customHeight="1">
      <x:c r="A83" s="13">
        <x:v>79</x:v>
      </x:c>
      <x:c r="B83" s="12" t="s">
        <x:v>342</x:v>
      </x:c>
      <x:c r="C83" s="12" t="s">
        <x:v>343</x:v>
      </x:c>
      <x:c r="D83" s="12"/>
      <x:c r="E83" s="12" t="s">
        <x:v>14</x:v>
      </x:c>
      <x:c r="F83" s="12" t="s">
        <x:v>21</x:v>
      </x:c>
      <x:c r="G83" s="14" t="s">
        <x:v>57</x:v>
      </x:c>
      <x:c r="H83" s="14" t="str">
        <x:f t="shared" si="4"/>
        <x:v>Uncommon</x:v>
      </x:c>
      <x:c r="I83" s="13"/>
      <x:c r="J83" s="13"/>
      <x:c r="K83" s="12"/>
      <x:c r="L83" s="13">
        <x:v>0</x:v>
      </x:c>
      <x:c r="M83" s="13">
        <x:v>0</x:v>
      </x:c>
      <x:c r="N83" s="13">
        <x:f t="shared" si="5"/>
        <x:v>0</x:v>
      </x:c>
      <x:c r="O83" s="12"/>
      <x:c r="P83" s="15" t="s">
        <x:v>344</x:v>
      </x:c>
      <x:c r="Q83" s="15" t="s">
        <x:v>345</x:v>
      </x:c>
      <x:c r="R83" s="15"/>
      <x:c r="S83" s="13">
        <x:v>0</x:v>
      </x:c>
      <x:c r="T83" s="12" t="s">
        <x:v>58</x:v>
      </x:c>
    </x:row>
    <x:row r="84" ht="30" customHeight="1">
      <x:c r="A84" s="13">
        <x:v>80</x:v>
      </x:c>
      <x:c r="B84" s="12" t="s">
        <x:v>346</x:v>
      </x:c>
      <x:c r="C84" s="12" t="s">
        <x:v>347</x:v>
      </x:c>
      <x:c r="D84" s="12"/>
      <x:c r="E84" s="12" t="s">
        <x:v>14</x:v>
      </x:c>
      <x:c r="F84" s="12" t="s">
        <x:v>23</x:v>
      </x:c>
      <x:c r="G84" s="14" t="s">
        <x:v>57</x:v>
      </x:c>
      <x:c r="H84" s="14" t="str">
        <x:f t="shared" si="4"/>
        <x:v>Uncommon</x:v>
      </x:c>
      <x:c r="I84" s="13"/>
      <x:c r="J84" s="13"/>
      <x:c r="K84" s="12"/>
      <x:c r="L84" s="13">
        <x:v>0</x:v>
      </x:c>
      <x:c r="M84" s="13">
        <x:v>0</x:v>
      </x:c>
      <x:c r="N84" s="13">
        <x:f t="shared" si="5"/>
        <x:v>0</x:v>
      </x:c>
      <x:c r="O84" s="12"/>
      <x:c r="P84" s="15" t="s">
        <x:v>348</x:v>
      </x:c>
      <x:c r="Q84" s="15" t="s">
        <x:v>349</x:v>
      </x:c>
      <x:c r="R84" s="15"/>
      <x:c r="S84" s="13">
        <x:v>0</x:v>
      </x:c>
      <x:c r="T84" s="12" t="s">
        <x:v>58</x:v>
      </x:c>
    </x:row>
    <x:row r="85" ht="30" customHeight="1">
      <x:c r="A85" s="13">
        <x:v>81</x:v>
      </x:c>
      <x:c r="B85" s="12" t="s">
        <x:v>350</x:v>
      </x:c>
      <x:c r="C85" s="12" t="s">
        <x:v>351</x:v>
      </x:c>
      <x:c r="D85" s="12"/>
      <x:c r="E85" s="12" t="s">
        <x:v>14</x:v>
      </x:c>
      <x:c r="F85" s="12" t="s">
        <x:v>25</x:v>
      </x:c>
      <x:c r="G85" s="14" t="s">
        <x:v>57</x:v>
      </x:c>
      <x:c r="H85" s="14" t="str">
        <x:f t="shared" si="4"/>
        <x:v>Uncommon</x:v>
      </x:c>
      <x:c r="I85" s="13"/>
      <x:c r="J85" s="13"/>
      <x:c r="K85" s="12"/>
      <x:c r="L85" s="13">
        <x:v>0</x:v>
      </x:c>
      <x:c r="M85" s="13">
        <x:v>0</x:v>
      </x:c>
      <x:c r="N85" s="13">
        <x:f t="shared" si="5"/>
        <x:v>0</x:v>
      </x:c>
      <x:c r="O85" s="12"/>
      <x:c r="P85" s="15" t="s">
        <x:v>352</x:v>
      </x:c>
      <x:c r="Q85" s="15" t="s">
        <x:v>353</x:v>
      </x:c>
      <x:c r="R85" s="15"/>
      <x:c r="S85" s="13">
        <x:v>0</x:v>
      </x:c>
      <x:c r="T85" s="12" t="s">
        <x:v>58</x:v>
      </x:c>
    </x:row>
    <x:row r="86" ht="30" customHeight="1">
      <x:c r="A86" s="13">
        <x:v>82</x:v>
      </x:c>
      <x:c r="B86" s="12" t="s">
        <x:v>354</x:v>
      </x:c>
      <x:c r="C86" s="12" t="s">
        <x:v>355</x:v>
      </x:c>
      <x:c r="D86" s="12"/>
      <x:c r="E86" s="12" t="s">
        <x:v>16</x:v>
      </x:c>
      <x:c r="F86" s="12" t="s">
        <x:v>21</x:v>
      </x:c>
      <x:c r="G86" s="14" t="s">
        <x:v>57</x:v>
      </x:c>
      <x:c r="H86" s="14" t="str">
        <x:f t="shared" si="4"/>
        <x:v>Uncommon</x:v>
      </x:c>
      <x:c r="I86" s="13"/>
      <x:c r="J86" s="13"/>
      <x:c r="K86" s="12"/>
      <x:c r="L86" s="13">
        <x:v>0</x:v>
      </x:c>
      <x:c r="M86" s="13">
        <x:v>0</x:v>
      </x:c>
      <x:c r="N86" s="13">
        <x:f t="shared" si="5"/>
        <x:v>0</x:v>
      </x:c>
      <x:c r="O86" s="12"/>
      <x:c r="P86" s="15" t="s">
        <x:v>356</x:v>
      </x:c>
      <x:c r="Q86" s="15" t="s">
        <x:v>357</x:v>
      </x:c>
      <x:c r="R86" s="15"/>
      <x:c r="S86" s="13">
        <x:v>0</x:v>
      </x:c>
      <x:c r="T86" s="12" t="s">
        <x:v>58</x:v>
      </x:c>
    </x:row>
    <x:row r="87" ht="30" customHeight="1">
      <x:c r="A87" s="13">
        <x:v>83</x:v>
      </x:c>
      <x:c r="B87" s="12" t="s">
        <x:v>358</x:v>
      </x:c>
      <x:c r="C87" s="12" t="s">
        <x:v>359</x:v>
      </x:c>
      <x:c r="D87" s="12"/>
      <x:c r="E87" s="12" t="s">
        <x:v>16</x:v>
      </x:c>
      <x:c r="F87" s="12" t="s">
        <x:v>23</x:v>
      </x:c>
      <x:c r="G87" s="14" t="s">
        <x:v>57</x:v>
      </x:c>
      <x:c r="H87" s="14" t="str">
        <x:f t="shared" si="4"/>
        <x:v>Uncommon</x:v>
      </x:c>
      <x:c r="I87" s="13"/>
      <x:c r="J87" s="13"/>
      <x:c r="K87" s="12"/>
      <x:c r="L87" s="13">
        <x:v>0</x:v>
      </x:c>
      <x:c r="M87" s="13">
        <x:v>0</x:v>
      </x:c>
      <x:c r="N87" s="13">
        <x:f t="shared" si="5"/>
        <x:v>0</x:v>
      </x:c>
      <x:c r="O87" s="12"/>
      <x:c r="P87" s="15" t="s">
        <x:v>360</x:v>
      </x:c>
      <x:c r="Q87" s="15" t="s">
        <x:v>361</x:v>
      </x:c>
      <x:c r="R87" s="15"/>
      <x:c r="S87" s="13">
        <x:v>0</x:v>
      </x:c>
      <x:c r="T87" s="12" t="s">
        <x:v>58</x:v>
      </x:c>
    </x:row>
    <x:row r="88" ht="30" customHeight="1">
      <x:c r="A88" s="13">
        <x:v>84</x:v>
      </x:c>
      <x:c r="B88" s="12" t="s">
        <x:v>362</x:v>
      </x:c>
      <x:c r="C88" s="12" t="s">
        <x:v>363</x:v>
      </x:c>
      <x:c r="D88" s="12"/>
      <x:c r="E88" s="12" t="s">
        <x:v>16</x:v>
      </x:c>
      <x:c r="F88" s="12" t="s">
        <x:v>25</x:v>
      </x:c>
      <x:c r="G88" s="14" t="s">
        <x:v>57</x:v>
      </x:c>
      <x:c r="H88" s="14" t="str">
        <x:f t="shared" si="4"/>
        <x:v>Uncommon</x:v>
      </x:c>
      <x:c r="I88" s="13"/>
      <x:c r="J88" s="13"/>
      <x:c r="K88" s="12"/>
      <x:c r="L88" s="13">
        <x:v>0</x:v>
      </x:c>
      <x:c r="M88" s="13">
        <x:v>0</x:v>
      </x:c>
      <x:c r="N88" s="13">
        <x:f t="shared" si="5"/>
        <x:v>0</x:v>
      </x:c>
      <x:c r="O88" s="12"/>
      <x:c r="P88" s="15" t="s">
        <x:v>364</x:v>
      </x:c>
      <x:c r="Q88" s="15" t="s">
        <x:v>365</x:v>
      </x:c>
      <x:c r="R88" s="15"/>
      <x:c r="S88" s="13">
        <x:v>0</x:v>
      </x:c>
      <x:c r="T88" s="12" t="s">
        <x:v>58</x:v>
      </x:c>
    </x:row>
    <x:row r="89" ht="30" customHeight="1">
      <x:c r="A89" s="13">
        <x:v>85</x:v>
      </x:c>
      <x:c r="B89" s="12" t="s">
        <x:v>366</x:v>
      </x:c>
      <x:c r="C89" s="12" t="s">
        <x:v>367</x:v>
      </x:c>
      <x:c r="D89" s="12"/>
      <x:c r="E89" s="12" t="s">
        <x:v>17</x:v>
      </x:c>
      <x:c r="F89" s="12" t="s">
        <x:v>31</x:v>
      </x:c>
      <x:c r="G89" s="14" t="s">
        <x:v>57</x:v>
      </x:c>
      <x:c r="H89" s="14" t="str">
        <x:f t="shared" si="4"/>
        <x:v>Mythic</x:v>
      </x:c>
      <x:c r="I89" s="13"/>
      <x:c r="J89" s="13"/>
      <x:c r="K89" s="12"/>
      <x:c r="L89" s="13">
        <x:v>0</x:v>
      </x:c>
      <x:c r="M89" s="13">
        <x:v>0</x:v>
      </x:c>
      <x:c r="N89" s="13">
        <x:f t="shared" si="5"/>
        <x:v>0</x:v>
      </x:c>
      <x:c r="O89" s="12"/>
      <x:c r="P89" s="15" t="s">
        <x:v>368</x:v>
      </x:c>
      <x:c r="Q89" s="15" t="s">
        <x:v>300</x:v>
      </x:c>
      <x:c r="R89" s="15"/>
      <x:c r="S89" s="13">
        <x:v>0</x:v>
      </x:c>
      <x:c r="T89" s="12" t="s">
        <x:v>58</x:v>
      </x:c>
    </x:row>
    <x:row r="90" ht="30" customHeight="1">
      <x:c r="A90" s="13">
        <x:v>86</x:v>
      </x:c>
      <x:c r="B90" s="12" t="s">
        <x:v>369</x:v>
      </x:c>
      <x:c r="C90" s="12" t="s">
        <x:v>370</x:v>
      </x:c>
      <x:c r="D90" s="12"/>
      <x:c r="E90" s="12" t="s">
        <x:v>17</x:v>
      </x:c>
      <x:c r="F90" s="12" t="s">
        <x:v>31</x:v>
      </x:c>
      <x:c r="G90" s="14" t="s">
        <x:v>57</x:v>
      </x:c>
      <x:c r="H90" s="14" t="str">
        <x:f t="shared" si="4"/>
        <x:v>Mythic</x:v>
      </x:c>
      <x:c r="I90" s="13"/>
      <x:c r="J90" s="13"/>
      <x:c r="K90" s="12"/>
      <x:c r="L90" s="13">
        <x:v>0</x:v>
      </x:c>
      <x:c r="M90" s="13">
        <x:v>0</x:v>
      </x:c>
      <x:c r="N90" s="13">
        <x:f t="shared" si="5"/>
        <x:v>0</x:v>
      </x:c>
      <x:c r="O90" s="12"/>
      <x:c r="P90" s="15" t="s">
        <x:v>371</x:v>
      </x:c>
      <x:c r="Q90" s="15" t="s">
        <x:v>300</x:v>
      </x:c>
      <x:c r="R90" s="15"/>
      <x:c r="S90" s="13">
        <x:v>0</x:v>
      </x:c>
      <x:c r="T90" s="12" t="s">
        <x:v>58</x:v>
      </x:c>
    </x:row>
    <x:row r="91" ht="30" customHeight="1">
      <x:c r="A91" s="13">
        <x:v>87</x:v>
      </x:c>
      <x:c r="B91" s="12" t="s">
        <x:v>372</x:v>
      </x:c>
      <x:c r="C91" s="12" t="s">
        <x:v>373</x:v>
      </x:c>
      <x:c r="D91" s="12"/>
      <x:c r="E91" s="12" t="s">
        <x:v>17</x:v>
      </x:c>
      <x:c r="F91" s="12" t="s">
        <x:v>31</x:v>
      </x:c>
      <x:c r="G91" s="14" t="s">
        <x:v>57</x:v>
      </x:c>
      <x:c r="H91" s="14" t="str">
        <x:f t="shared" si="4"/>
        <x:v>Mythic</x:v>
      </x:c>
      <x:c r="I91" s="13"/>
      <x:c r="J91" s="13"/>
      <x:c r="K91" s="12"/>
      <x:c r="L91" s="13">
        <x:v>0</x:v>
      </x:c>
      <x:c r="M91" s="13">
        <x:v>0</x:v>
      </x:c>
      <x:c r="N91" s="13">
        <x:f t="shared" si="5"/>
        <x:v>0</x:v>
      </x:c>
      <x:c r="O91" s="12"/>
      <x:c r="P91" s="15" t="s">
        <x:v>374</x:v>
      </x:c>
      <x:c r="Q91" s="15" t="s">
        <x:v>300</x:v>
      </x:c>
      <x:c r="R91" s="15" t="s">
        <x:v>316</x:v>
      </x:c>
      <x:c r="S91" s="13">
        <x:v>10</x:v>
      </x:c>
      <x:c r="T91" s="12" t="s">
        <x:v>58</x:v>
      </x:c>
    </x:row>
    <x:row r="92" ht="30" customHeight="1">
      <x:c r="A92" s="13">
        <x:v>88</x:v>
      </x:c>
      <x:c r="B92" s="12" t="s">
        <x:v>375</x:v>
      </x:c>
      <x:c r="C92" s="12" t="s">
        <x:v>376</x:v>
      </x:c>
      <x:c r="D92" s="12"/>
      <x:c r="E92" s="12" t="s">
        <x:v>17</x:v>
      </x:c>
      <x:c r="F92" s="12" t="s">
        <x:v>31</x:v>
      </x:c>
      <x:c r="G92" s="14" t="s">
        <x:v>57</x:v>
      </x:c>
      <x:c r="H92" s="14" t="str">
        <x:f t="shared" si="4"/>
        <x:v>Mythic</x:v>
      </x:c>
      <x:c r="I92" s="13"/>
      <x:c r="J92" s="13"/>
      <x:c r="K92" s="12"/>
      <x:c r="L92" s="13">
        <x:v>0</x:v>
      </x:c>
      <x:c r="M92" s="13">
        <x:v>0</x:v>
      </x:c>
      <x:c r="N92" s="13">
        <x:f t="shared" si="5"/>
        <x:v>0</x:v>
      </x:c>
      <x:c r="O92" s="12"/>
      <x:c r="P92" s="15" t="s">
        <x:v>377</x:v>
      </x:c>
      <x:c r="Q92" s="15" t="s">
        <x:v>300</x:v>
      </x:c>
      <x:c r="R92" s="15" t="s">
        <x:v>316</x:v>
      </x:c>
      <x:c r="S92" s="13">
        <x:v>13</x:v>
      </x:c>
      <x:c r="T92" s="12" t="s">
        <x:v>58</x:v>
      </x:c>
    </x:row>
  </x:sheetData>
  <x:mergeCells>
    <x:mergeCell ref="A1:T1"/>
    <x:mergeCell ref="A2:T2"/>
  </x:mergeCells>
  <x:conditionalFormatting sqref="F5:F92">
    <x:cfRule type="containsText" dxfId="6" priority="1" operator="containsText" text="Spicy"/>
    <x:cfRule type="containsText" dxfId="5" priority="2" operator="containsText" text="Hearty"/>
    <x:cfRule type="containsText" dxfId="4" priority="3" operator="containsText" text="Sweet"/>
    <x:cfRule type="containsText" dxfId="3" priority="4" operator="containsText" text="Fresh"/>
    <x:cfRule type="containsText" dxfId="2" priority="5" operator="containsText" text="Funky"/>
  </x:conditionalFormatting>
  <x:conditionalFormatting sqref="H5:H92">
    <x:cfRule type="containsText" dxfId="1" priority="6" operator="containsText" text="Rare"/>
    <x:cfRule type="containsText" dxfId="0" priority="7" operator="containsText" text="Mythic"/>
  </x:conditionalFormatting>
  <x:pageMargins left="0.7" right="0.7" top="0.75" bottom="0.75" header="0.3" footer="0.3"/>
  <x:tableParts count="1">
    <x:tablePart xmlns:r="http://schemas.openxmlformats.org/officeDocument/2006/relationships" r:id="R88695acf4d9b4e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9" customWidth="1"/>
    <x:col min="2" max="2" width="20" customWidth="1"/>
    <x:col min="3" max="3" width="13" customWidth="1"/>
    <x:col min="4" max="4" width="31" customWidth="1"/>
    <x:col min="5" max="5" width="27" customWidth="1"/>
    <x:col min="6" max="6" width="13" customWidth="1"/>
    <x:col min="7" max="7" width="9" customWidth="1"/>
  </x:cols>
  <x:sheetData>
    <x:row r="1" ht="32" customHeight="1">
      <x:c r="A1" s="30" t="s">
        <x:v>378</x:v>
      </x:c>
      <x:c r="B1" s="30"/>
      <x:c r="C1" s="30"/>
      <x:c r="D1" s="30"/>
      <x:c r="E1" s="30"/>
      <x:c r="F1" s="30"/>
      <x:c r="G1" s="30"/>
    </x:row>
    <x:row r="2" ht="15">
      <x:c r="A2" s="31" t="s">
        <x:v>379</x:v>
      </x:c>
      <x:c r="B2" s="31"/>
      <x:c r="C2" s="31"/>
      <x:c r="D2" s="31"/>
      <x:c r="E2" s="31"/>
      <x:c r="F2" s="31"/>
      <x:c r="G2" s="31"/>
    </x:row>
    <x:row r="4" ht="15">
      <x:c r="A4" s="10" t="s">
        <x:v>380</x:v>
      </x:c>
      <x:c r="B4" s="10" t="s">
        <x:v>381</x:v>
      </x:c>
      <x:c r="C4" s="10" t="s">
        <x:v>18</x:v>
      </x:c>
      <x:c r="D4" s="10" t="s">
        <x:v>37</x:v>
      </x:c>
      <x:c r="E4" s="10" t="s">
        <x:v>382</x:v>
      </x:c>
      <x:c r="F4" s="10" t="s">
        <x:v>3</x:v>
      </x:c>
      <x:c r="G4" s="10" t="s">
        <x:v>2</x:v>
      </x:c>
    </x:row>
    <x:row r="5" ht="15">
      <x:c r="A5" s="12" t="s">
        <x:v>383</x:v>
      </x:c>
      <x:c r="B5" s="12" t="s">
        <x:v>22</x:v>
      </x:c>
      <x:c r="C5" s="12" t="s">
        <x:v>21</x:v>
      </x:c>
      <x:c r="D5" s="12" t="s">
        <x:v>54</x:v>
      </x:c>
      <x:c r="E5" s="12" t="s">
        <x:v>55</x:v>
      </x:c>
      <x:c r="F5" s="12" t="s">
        <x:v>9</x:v>
      </x:c>
      <x:c r="G5" s="13">
        <x:v>2</x:v>
      </x:c>
    </x:row>
    <x:row r="6" ht="15">
      <x:c r="A6" s="12" t="s">
        <x:v>383</x:v>
      </x:c>
      <x:c r="B6" s="12" t="s">
        <x:v>22</x:v>
      </x:c>
      <x:c r="C6" s="12" t="s">
        <x:v>21</x:v>
      </x:c>
      <x:c r="D6" s="12" t="s">
        <x:v>59</x:v>
      </x:c>
      <x:c r="E6" s="12" t="s">
        <x:v>60</x:v>
      </x:c>
      <x:c r="F6" s="12" t="s">
        <x:v>9</x:v>
      </x:c>
      <x:c r="G6" s="13">
        <x:v>2</x:v>
      </x:c>
    </x:row>
    <x:row r="7" ht="15">
      <x:c r="A7" s="12" t="s">
        <x:v>383</x:v>
      </x:c>
      <x:c r="B7" s="12" t="s">
        <x:v>22</x:v>
      </x:c>
      <x:c r="C7" s="12" t="s">
        <x:v>21</x:v>
      </x:c>
      <x:c r="D7" s="12" t="s">
        <x:v>73</x:v>
      </x:c>
      <x:c r="E7" s="12" t="s">
        <x:v>74</x:v>
      </x:c>
      <x:c r="F7" s="12" t="s">
        <x:v>9</x:v>
      </x:c>
      <x:c r="G7" s="13">
        <x:v>1</x:v>
      </x:c>
    </x:row>
    <x:row r="8" ht="15">
      <x:c r="A8" s="12" t="s">
        <x:v>383</x:v>
      </x:c>
      <x:c r="B8" s="12" t="s">
        <x:v>22</x:v>
      </x:c>
      <x:c r="C8" s="12" t="s">
        <x:v>21</x:v>
      </x:c>
      <x:c r="D8" s="12" t="s">
        <x:v>172</x:v>
      </x:c>
      <x:c r="E8" s="12" t="s">
        <x:v>173</x:v>
      </x:c>
      <x:c r="F8" s="12" t="s">
        <x:v>6</x:v>
      </x:c>
      <x:c r="G8" s="13">
        <x:v>3</x:v>
      </x:c>
    </x:row>
    <x:row r="9" ht="15">
      <x:c r="A9" s="12" t="s">
        <x:v>383</x:v>
      </x:c>
      <x:c r="B9" s="12" t="s">
        <x:v>22</x:v>
      </x:c>
      <x:c r="C9" s="12" t="s">
        <x:v>21</x:v>
      </x:c>
      <x:c r="D9" s="12" t="s">
        <x:v>175</x:v>
      </x:c>
      <x:c r="E9" s="12" t="s">
        <x:v>176</x:v>
      </x:c>
      <x:c r="F9" s="12" t="s">
        <x:v>6</x:v>
      </x:c>
      <x:c r="G9" s="13">
        <x:v>2</x:v>
      </x:c>
    </x:row>
    <x:row r="10" ht="15">
      <x:c r="A10" s="12" t="s">
        <x:v>383</x:v>
      </x:c>
      <x:c r="B10" s="12" t="s">
        <x:v>22</x:v>
      </x:c>
      <x:c r="C10" s="12" t="s">
        <x:v>21</x:v>
      </x:c>
      <x:c r="D10" s="12" t="s">
        <x:v>177</x:v>
      </x:c>
      <x:c r="E10" s="12" t="s">
        <x:v>178</x:v>
      </x:c>
      <x:c r="F10" s="12" t="s">
        <x:v>6</x:v>
      </x:c>
      <x:c r="G10" s="13">
        <x:v>3</x:v>
      </x:c>
    </x:row>
    <x:row r="11" ht="15">
      <x:c r="A11" s="12" t="s">
        <x:v>383</x:v>
      </x:c>
      <x:c r="B11" s="12" t="s">
        <x:v>22</x:v>
      </x:c>
      <x:c r="C11" s="12" t="s">
        <x:v>21</x:v>
      </x:c>
      <x:c r="D11" s="12" t="s">
        <x:v>181</x:v>
      </x:c>
      <x:c r="E11" s="12" t="s">
        <x:v>182</x:v>
      </x:c>
      <x:c r="F11" s="12" t="s">
        <x:v>6</x:v>
      </x:c>
      <x:c r="G11" s="13">
        <x:v>2</x:v>
      </x:c>
    </x:row>
    <x:row r="12" ht="15">
      <x:c r="A12" s="12" t="s">
        <x:v>383</x:v>
      </x:c>
      <x:c r="B12" s="12" t="s">
        <x:v>22</x:v>
      </x:c>
      <x:c r="C12" s="12" t="s">
        <x:v>21</x:v>
      </x:c>
      <x:c r="D12" s="12" t="s">
        <x:v>185</x:v>
      </x:c>
      <x:c r="E12" s="12" t="s">
        <x:v>186</x:v>
      </x:c>
      <x:c r="F12" s="12" t="s">
        <x:v>6</x:v>
      </x:c>
      <x:c r="G12" s="13">
        <x:v>1</x:v>
      </x:c>
    </x:row>
    <x:row r="13" ht="15">
      <x:c r="A13" s="12" t="s">
        <x:v>383</x:v>
      </x:c>
      <x:c r="B13" s="12" t="s">
        <x:v>22</x:v>
      </x:c>
      <x:c r="C13" s="12" t="s">
        <x:v>21</x:v>
      </x:c>
      <x:c r="D13" s="12" t="s">
        <x:v>297</x:v>
      </x:c>
      <x:c r="E13" s="12" t="s">
        <x:v>298</x:v>
      </x:c>
      <x:c r="F13" s="12" t="s">
        <x:v>12</x:v>
      </x:c>
      <x:c r="G13" s="13">
        <x:v>1</x:v>
      </x:c>
    </x:row>
    <x:row r="14" ht="15">
      <x:c r="A14" s="12" t="s">
        <x:v>383</x:v>
      </x:c>
      <x:c r="B14" s="12" t="s">
        <x:v>22</x:v>
      </x:c>
      <x:c r="C14" s="12" t="s">
        <x:v>21</x:v>
      </x:c>
      <x:c r="D14" s="12" t="s">
        <x:v>313</x:v>
      </x:c>
      <x:c r="E14" s="12" t="s">
        <x:v>314</x:v>
      </x:c>
      <x:c r="F14" s="12" t="s">
        <x:v>12</x:v>
      </x:c>
      <x:c r="G14" s="13">
        <x:v>3</x:v>
      </x:c>
    </x:row>
    <x:row r="15" ht="15">
      <x:c r="A15" s="12" t="s">
        <x:v>383</x:v>
      </x:c>
      <x:c r="B15" s="12" t="s">
        <x:v>22</x:v>
      </x:c>
      <x:c r="C15" s="12" t="s">
        <x:v>21</x:v>
      </x:c>
      <x:c r="D15" s="12" t="s">
        <x:v>320</x:v>
      </x:c>
      <x:c r="E15" s="12" t="s">
        <x:v>321</x:v>
      </x:c>
      <x:c r="F15" s="12" t="s">
        <x:v>12</x:v>
      </x:c>
      <x:c r="G15" s="13">
        <x:v>2</x:v>
      </x:c>
    </x:row>
    <x:row r="16" ht="15">
      <x:c r="A16" s="12" t="s">
        <x:v>383</x:v>
      </x:c>
      <x:c r="B16" s="12" t="s">
        <x:v>22</x:v>
      </x:c>
      <x:c r="C16" s="12" t="s">
        <x:v>21</x:v>
      </x:c>
      <x:c r="D16" s="12" t="s">
        <x:v>339</x:v>
      </x:c>
      <x:c r="E16" s="12" t="s">
        <x:v>340</x:v>
      </x:c>
      <x:c r="F16" s="12" t="s">
        <x:v>12</x:v>
      </x:c>
      <x:c r="G16" s="13">
        <x:v>3</x:v>
      </x:c>
    </x:row>
    <x:row r="17" ht="15">
      <x:c r="A17" s="12" t="s">
        <x:v>383</x:v>
      </x:c>
      <x:c r="B17" s="12" t="s">
        <x:v>22</x:v>
      </x:c>
      <x:c r="C17" s="12" t="s">
        <x:v>21</x:v>
      </x:c>
      <x:c r="D17" s="12" t="s">
        <x:v>372</x:v>
      </x:c>
      <x:c r="E17" s="12" t="s">
        <x:v>373</x:v>
      </x:c>
      <x:c r="F17" s="12" t="s">
        <x:v>17</x:v>
      </x:c>
      <x:c r="G17" s="13">
        <x:v>2</x:v>
      </x:c>
    </x:row>
    <x:row r="18" ht="15">
      <x:c r="A18" s="12" t="s">
        <x:v>383</x:v>
      </x:c>
      <x:c r="B18" s="12" t="s">
        <x:v>22</x:v>
      </x:c>
      <x:c r="C18" s="12" t="s">
        <x:v>21</x:v>
      </x:c>
      <x:c r="D18" s="12" t="s">
        <x:v>375</x:v>
      </x:c>
      <x:c r="E18" s="12" t="s">
        <x:v>376</x:v>
      </x:c>
      <x:c r="F18" s="12" t="s">
        <x:v>17</x:v>
      </x:c>
      <x:c r="G18" s="13">
        <x:v>3</x:v>
      </x:c>
    </x:row>
    <x:row r="19" ht="15">
      <x:c r="A19" s="12" t="s">
        <x:v>384</x:v>
      </x:c>
      <x:c r="B19" s="12" t="s">
        <x:v>24</x:v>
      </x:c>
      <x:c r="C19" s="12" t="s">
        <x:v>23</x:v>
      </x:c>
      <x:c r="D19" s="12" t="s">
        <x:v>79</x:v>
      </x:c>
      <x:c r="E19" s="12" t="s">
        <x:v>80</x:v>
      </x:c>
      <x:c r="F19" s="12" t="s">
        <x:v>9</x:v>
      </x:c>
      <x:c r="G19" s="13">
        <x:v>2</x:v>
      </x:c>
    </x:row>
    <x:row r="20" ht="15">
      <x:c r="A20" s="12" t="s">
        <x:v>384</x:v>
      </x:c>
      <x:c r="B20" s="12" t="s">
        <x:v>24</x:v>
      </x:c>
      <x:c r="C20" s="12" t="s">
        <x:v>23</x:v>
      </x:c>
      <x:c r="D20" s="12" t="s">
        <x:v>81</x:v>
      </x:c>
      <x:c r="E20" s="12" t="s">
        <x:v>82</x:v>
      </x:c>
      <x:c r="F20" s="12" t="s">
        <x:v>9</x:v>
      </x:c>
      <x:c r="G20" s="13">
        <x:v>2</x:v>
      </x:c>
    </x:row>
    <x:row r="21" ht="15">
      <x:c r="A21" s="12" t="s">
        <x:v>384</x:v>
      </x:c>
      <x:c r="B21" s="12" t="s">
        <x:v>24</x:v>
      </x:c>
      <x:c r="C21" s="12" t="s">
        <x:v>23</x:v>
      </x:c>
      <x:c r="D21" s="12" t="s">
        <x:v>97</x:v>
      </x:c>
      <x:c r="E21" s="12" t="s">
        <x:v>98</x:v>
      </x:c>
      <x:c r="F21" s="12" t="s">
        <x:v>9</x:v>
      </x:c>
      <x:c r="G21" s="13">
        <x:v>1</x:v>
      </x:c>
    </x:row>
    <x:row r="22" ht="15">
      <x:c r="A22" s="12" t="s">
        <x:v>384</x:v>
      </x:c>
      <x:c r="B22" s="12" t="s">
        <x:v>24</x:v>
      </x:c>
      <x:c r="C22" s="12" t="s">
        <x:v>23</x:v>
      </x:c>
      <x:c r="D22" s="12" t="s">
        <x:v>242</x:v>
      </x:c>
      <x:c r="E22" s="12" t="s">
        <x:v>243</x:v>
      </x:c>
      <x:c r="F22" s="12" t="s">
        <x:v>6</x:v>
      </x:c>
      <x:c r="G22" s="13">
        <x:v>3</x:v>
      </x:c>
    </x:row>
    <x:row r="23" ht="15">
      <x:c r="A23" s="12" t="s">
        <x:v>384</x:v>
      </x:c>
      <x:c r="B23" s="12" t="s">
        <x:v>24</x:v>
      </x:c>
      <x:c r="C23" s="12" t="s">
        <x:v>23</x:v>
      </x:c>
      <x:c r="D23" s="12" t="s">
        <x:v>245</x:v>
      </x:c>
      <x:c r="E23" s="12" t="s">
        <x:v>246</x:v>
      </x:c>
      <x:c r="F23" s="12" t="s">
        <x:v>6</x:v>
      </x:c>
      <x:c r="G23" s="13">
        <x:v>3</x:v>
      </x:c>
    </x:row>
    <x:row r="24" ht="15">
      <x:c r="A24" s="12" t="s">
        <x:v>384</x:v>
      </x:c>
      <x:c r="B24" s="12" t="s">
        <x:v>24</x:v>
      </x:c>
      <x:c r="C24" s="12" t="s">
        <x:v>23</x:v>
      </x:c>
      <x:c r="D24" s="12" t="s">
        <x:v>249</x:v>
      </x:c>
      <x:c r="E24" s="12" t="s">
        <x:v>250</x:v>
      </x:c>
      <x:c r="F24" s="12" t="s">
        <x:v>6</x:v>
      </x:c>
      <x:c r="G24" s="13">
        <x:v>3</x:v>
      </x:c>
    </x:row>
    <x:row r="25" ht="15">
      <x:c r="A25" s="12" t="s">
        <x:v>384</x:v>
      </x:c>
      <x:c r="B25" s="12" t="s">
        <x:v>24</x:v>
      </x:c>
      <x:c r="C25" s="12" t="s">
        <x:v>23</x:v>
      </x:c>
      <x:c r="D25" s="12" t="s">
        <x:v>252</x:v>
      </x:c>
      <x:c r="E25" s="12" t="s">
        <x:v>253</x:v>
      </x:c>
      <x:c r="F25" s="12" t="s">
        <x:v>6</x:v>
      </x:c>
      <x:c r="G25" s="13">
        <x:v>1</x:v>
      </x:c>
    </x:row>
    <x:row r="26" ht="15">
      <x:c r="A26" s="12" t="s">
        <x:v>384</x:v>
      </x:c>
      <x:c r="B26" s="12" t="s">
        <x:v>24</x:v>
      </x:c>
      <x:c r="C26" s="12" t="s">
        <x:v>23</x:v>
      </x:c>
      <x:c r="D26" s="12" t="s">
        <x:v>256</x:v>
      </x:c>
      <x:c r="E26" s="12" t="s">
        <x:v>257</x:v>
      </x:c>
      <x:c r="F26" s="12" t="s">
        <x:v>6</x:v>
      </x:c>
      <x:c r="G26" s="13">
        <x:v>1</x:v>
      </x:c>
    </x:row>
    <x:row r="27" ht="15">
      <x:c r="A27" s="12" t="s">
        <x:v>384</x:v>
      </x:c>
      <x:c r="B27" s="12" t="s">
        <x:v>24</x:v>
      </x:c>
      <x:c r="C27" s="12" t="s">
        <x:v>23</x:v>
      </x:c>
      <x:c r="D27" s="12" t="s">
        <x:v>304</x:v>
      </x:c>
      <x:c r="E27" s="12" t="s">
        <x:v>305</x:v>
      </x:c>
      <x:c r="F27" s="12" t="s">
        <x:v>12</x:v>
      </x:c>
      <x:c r="G27" s="13">
        <x:v>1</x:v>
      </x:c>
    </x:row>
    <x:row r="28" ht="15">
      <x:c r="A28" s="12" t="s">
        <x:v>384</x:v>
      </x:c>
      <x:c r="B28" s="12" t="s">
        <x:v>24</x:v>
      </x:c>
      <x:c r="C28" s="12" t="s">
        <x:v>23</x:v>
      </x:c>
      <x:c r="D28" s="12" t="s">
        <x:v>313</x:v>
      </x:c>
      <x:c r="E28" s="12" t="s">
        <x:v>314</x:v>
      </x:c>
      <x:c r="F28" s="12" t="s">
        <x:v>12</x:v>
      </x:c>
      <x:c r="G28" s="13">
        <x:v>3</x:v>
      </x:c>
    </x:row>
    <x:row r="29" ht="15">
      <x:c r="A29" s="12" t="s">
        <x:v>384</x:v>
      </x:c>
      <x:c r="B29" s="12" t="s">
        <x:v>24</x:v>
      </x:c>
      <x:c r="C29" s="12" t="s">
        <x:v>23</x:v>
      </x:c>
      <x:c r="D29" s="12" t="s">
        <x:v>320</x:v>
      </x:c>
      <x:c r="E29" s="12" t="s">
        <x:v>321</x:v>
      </x:c>
      <x:c r="F29" s="12" t="s">
        <x:v>12</x:v>
      </x:c>
      <x:c r="G29" s="13">
        <x:v>2</x:v>
      </x:c>
    </x:row>
    <x:row r="30" ht="15">
      <x:c r="A30" s="12" t="s">
        <x:v>384</x:v>
      </x:c>
      <x:c r="B30" s="12" t="s">
        <x:v>24</x:v>
      </x:c>
      <x:c r="C30" s="12" t="s">
        <x:v>23</x:v>
      </x:c>
      <x:c r="D30" s="12" t="s">
        <x:v>339</x:v>
      </x:c>
      <x:c r="E30" s="12" t="s">
        <x:v>340</x:v>
      </x:c>
      <x:c r="F30" s="12" t="s">
        <x:v>12</x:v>
      </x:c>
      <x:c r="G30" s="13">
        <x:v>3</x:v>
      </x:c>
    </x:row>
    <x:row r="31" ht="15">
      <x:c r="A31" s="12" t="s">
        <x:v>384</x:v>
      </x:c>
      <x:c r="B31" s="12" t="s">
        <x:v>24</x:v>
      </x:c>
      <x:c r="C31" s="12" t="s">
        <x:v>23</x:v>
      </x:c>
      <x:c r="D31" s="12" t="s">
        <x:v>372</x:v>
      </x:c>
      <x:c r="E31" s="12" t="s">
        <x:v>373</x:v>
      </x:c>
      <x:c r="F31" s="12" t="s">
        <x:v>17</x:v>
      </x:c>
      <x:c r="G31" s="13">
        <x:v>2</x:v>
      </x:c>
    </x:row>
    <x:row r="32" ht="15">
      <x:c r="A32" s="12" t="s">
        <x:v>384</x:v>
      </x:c>
      <x:c r="B32" s="12" t="s">
        <x:v>24</x:v>
      </x:c>
      <x:c r="C32" s="12" t="s">
        <x:v>23</x:v>
      </x:c>
      <x:c r="D32" s="12" t="s">
        <x:v>375</x:v>
      </x:c>
      <x:c r="E32" s="12" t="s">
        <x:v>376</x:v>
      </x:c>
      <x:c r="F32" s="12" t="s">
        <x:v>17</x:v>
      </x:c>
      <x:c r="G32" s="13">
        <x:v>3</x:v>
      </x:c>
    </x:row>
    <x:row r="33" ht="15">
      <x:c r="A33" s="12" t="s">
        <x:v>385</x:v>
      </x:c>
      <x:c r="B33" s="12" t="s">
        <x:v>26</x:v>
      </x:c>
      <x:c r="C33" s="12" t="s">
        <x:v>25</x:v>
      </x:c>
      <x:c r="D33" s="12" t="s">
        <x:v>102</x:v>
      </x:c>
      <x:c r="E33" s="12" t="s">
        <x:v>103</x:v>
      </x:c>
      <x:c r="F33" s="12" t="s">
        <x:v>9</x:v>
      </x:c>
      <x:c r="G33" s="13">
        <x:v>1</x:v>
      </x:c>
    </x:row>
    <x:row r="34" ht="15">
      <x:c r="A34" s="12" t="s">
        <x:v>385</x:v>
      </x:c>
      <x:c r="B34" s="12" t="s">
        <x:v>26</x:v>
      </x:c>
      <x:c r="C34" s="12" t="s">
        <x:v>25</x:v>
      </x:c>
      <x:c r="D34" s="12" t="s">
        <x:v>104</x:v>
      </x:c>
      <x:c r="E34" s="12" t="s">
        <x:v>105</x:v>
      </x:c>
      <x:c r="F34" s="12" t="s">
        <x:v>9</x:v>
      </x:c>
      <x:c r="G34" s="13">
        <x:v>2</x:v>
      </x:c>
    </x:row>
    <x:row r="35" ht="15">
      <x:c r="A35" s="12" t="s">
        <x:v>385</x:v>
      </x:c>
      <x:c r="B35" s="12" t="s">
        <x:v>26</x:v>
      </x:c>
      <x:c r="C35" s="12" t="s">
        <x:v>25</x:v>
      </x:c>
      <x:c r="D35" s="12" t="s">
        <x:v>118</x:v>
      </x:c>
      <x:c r="E35" s="12" t="s">
        <x:v>119</x:v>
      </x:c>
      <x:c r="F35" s="12" t="s">
        <x:v>9</x:v>
      </x:c>
      <x:c r="G35" s="13">
        <x:v>2</x:v>
      </x:c>
    </x:row>
    <x:row r="36" ht="15">
      <x:c r="A36" s="12" t="s">
        <x:v>385</x:v>
      </x:c>
      <x:c r="B36" s="12" t="s">
        <x:v>26</x:v>
      </x:c>
      <x:c r="C36" s="12" t="s">
        <x:v>25</x:v>
      </x:c>
      <x:c r="D36" s="12" t="s">
        <x:v>272</x:v>
      </x:c>
      <x:c r="E36" s="12" t="s">
        <x:v>273</x:v>
      </x:c>
      <x:c r="F36" s="12" t="s">
        <x:v>6</x:v>
      </x:c>
      <x:c r="G36" s="13">
        <x:v>3</x:v>
      </x:c>
    </x:row>
    <x:row r="37" ht="15">
      <x:c r="A37" s="12" t="s">
        <x:v>385</x:v>
      </x:c>
      <x:c r="B37" s="12" t="s">
        <x:v>26</x:v>
      </x:c>
      <x:c r="C37" s="12" t="s">
        <x:v>25</x:v>
      </x:c>
      <x:c r="D37" s="12" t="s">
        <x:v>275</x:v>
      </x:c>
      <x:c r="E37" s="12" t="s">
        <x:v>276</x:v>
      </x:c>
      <x:c r="F37" s="12" t="s">
        <x:v>6</x:v>
      </x:c>
      <x:c r="G37" s="13">
        <x:v>3</x:v>
      </x:c>
    </x:row>
    <x:row r="38" ht="15">
      <x:c r="A38" s="12" t="s">
        <x:v>385</x:v>
      </x:c>
      <x:c r="B38" s="12" t="s">
        <x:v>26</x:v>
      </x:c>
      <x:c r="C38" s="12" t="s">
        <x:v>25</x:v>
      </x:c>
      <x:c r="D38" s="12" t="s">
        <x:v>277</x:v>
      </x:c>
      <x:c r="E38" s="12" t="s">
        <x:v>278</x:v>
      </x:c>
      <x:c r="F38" s="12" t="s">
        <x:v>6</x:v>
      </x:c>
      <x:c r="G38" s="13">
        <x:v>3</x:v>
      </x:c>
    </x:row>
    <x:row r="39" ht="15">
      <x:c r="A39" s="12" t="s">
        <x:v>385</x:v>
      </x:c>
      <x:c r="B39" s="12" t="s">
        <x:v>26</x:v>
      </x:c>
      <x:c r="C39" s="12" t="s">
        <x:v>25</x:v>
      </x:c>
      <x:c r="D39" s="12" t="s">
        <x:v>280</x:v>
      </x:c>
      <x:c r="E39" s="12" t="s">
        <x:v>281</x:v>
      </x:c>
      <x:c r="F39" s="12" t="s">
        <x:v>6</x:v>
      </x:c>
      <x:c r="G39" s="13">
        <x:v>1</x:v>
      </x:c>
    </x:row>
    <x:row r="40" ht="15">
      <x:c r="A40" s="12" t="s">
        <x:v>385</x:v>
      </x:c>
      <x:c r="B40" s="12" t="s">
        <x:v>26</x:v>
      </x:c>
      <x:c r="C40" s="12" t="s">
        <x:v>25</x:v>
      </x:c>
      <x:c r="D40" s="12" t="s">
        <x:v>283</x:v>
      </x:c>
      <x:c r="E40" s="12" t="s">
        <x:v>284</x:v>
      </x:c>
      <x:c r="F40" s="12" t="s">
        <x:v>6</x:v>
      </x:c>
      <x:c r="G40" s="13">
        <x:v>1</x:v>
      </x:c>
    </x:row>
    <x:row r="41" ht="15">
      <x:c r="A41" s="12" t="s">
        <x:v>385</x:v>
      </x:c>
      <x:c r="B41" s="12" t="s">
        <x:v>26</x:v>
      </x:c>
      <x:c r="C41" s="12" t="s">
        <x:v>25</x:v>
      </x:c>
      <x:c r="D41" s="12" t="s">
        <x:v>301</x:v>
      </x:c>
      <x:c r="E41" s="12" t="s">
        <x:v>302</x:v>
      </x:c>
      <x:c r="F41" s="12" t="s">
        <x:v>12</x:v>
      </x:c>
      <x:c r="G41" s="13">
        <x:v>1</x:v>
      </x:c>
    </x:row>
    <x:row r="42" ht="15">
      <x:c r="A42" s="12" t="s">
        <x:v>385</x:v>
      </x:c>
      <x:c r="B42" s="12" t="s">
        <x:v>26</x:v>
      </x:c>
      <x:c r="C42" s="12" t="s">
        <x:v>25</x:v>
      </x:c>
      <x:c r="D42" s="12" t="s">
        <x:v>313</x:v>
      </x:c>
      <x:c r="E42" s="12" t="s">
        <x:v>314</x:v>
      </x:c>
      <x:c r="F42" s="12" t="s">
        <x:v>12</x:v>
      </x:c>
      <x:c r="G42" s="13">
        <x:v>3</x:v>
      </x:c>
    </x:row>
    <x:row r="43" ht="15">
      <x:c r="A43" s="12" t="s">
        <x:v>385</x:v>
      </x:c>
      <x:c r="B43" s="12" t="s">
        <x:v>26</x:v>
      </x:c>
      <x:c r="C43" s="12" t="s">
        <x:v>25</x:v>
      </x:c>
      <x:c r="D43" s="12" t="s">
        <x:v>320</x:v>
      </x:c>
      <x:c r="E43" s="12" t="s">
        <x:v>321</x:v>
      </x:c>
      <x:c r="F43" s="12" t="s">
        <x:v>12</x:v>
      </x:c>
      <x:c r="G43" s="13">
        <x:v>2</x:v>
      </x:c>
    </x:row>
    <x:row r="44" ht="15">
      <x:c r="A44" s="12" t="s">
        <x:v>385</x:v>
      </x:c>
      <x:c r="B44" s="12" t="s">
        <x:v>26</x:v>
      </x:c>
      <x:c r="C44" s="12" t="s">
        <x:v>25</x:v>
      </x:c>
      <x:c r="D44" s="12" t="s">
        <x:v>339</x:v>
      </x:c>
      <x:c r="E44" s="12" t="s">
        <x:v>340</x:v>
      </x:c>
      <x:c r="F44" s="12" t="s">
        <x:v>12</x:v>
      </x:c>
      <x:c r="G44" s="13">
        <x:v>3</x:v>
      </x:c>
    </x:row>
    <x:row r="45" ht="15">
      <x:c r="A45" s="12" t="s">
        <x:v>385</x:v>
      </x:c>
      <x:c r="B45" s="12" t="s">
        <x:v>26</x:v>
      </x:c>
      <x:c r="C45" s="12" t="s">
        <x:v>25</x:v>
      </x:c>
      <x:c r="D45" s="12" t="s">
        <x:v>372</x:v>
      </x:c>
      <x:c r="E45" s="12" t="s">
        <x:v>373</x:v>
      </x:c>
      <x:c r="F45" s="12" t="s">
        <x:v>17</x:v>
      </x:c>
      <x:c r="G45" s="13">
        <x:v>2</x:v>
      </x:c>
    </x:row>
    <x:row r="46" ht="15">
      <x:c r="A46" s="12" t="s">
        <x:v>385</x:v>
      </x:c>
      <x:c r="B46" s="12" t="s">
        <x:v>26</x:v>
      </x:c>
      <x:c r="C46" s="12" t="s">
        <x:v>25</x:v>
      </x:c>
      <x:c r="D46" s="12" t="s">
        <x:v>375</x:v>
      </x:c>
      <x:c r="E46" s="12" t="s">
        <x:v>376</x:v>
      </x:c>
      <x:c r="F46" s="12" t="s">
        <x:v>17</x:v>
      </x:c>
      <x:c r="G46" s="13">
        <x:v>3</x:v>
      </x:c>
    </x:row>
    <x:row r="47" ht="15">
      <x:c r="A47" s="12" t="s">
        <x:v>386</x:v>
      </x:c>
      <x:c r="B47" s="12" t="s">
        <x:v>28</x:v>
      </x:c>
      <x:c r="C47" s="12" t="s">
        <x:v>27</x:v>
      </x:c>
      <x:c r="D47" s="12" t="s">
        <x:v>130</x:v>
      </x:c>
      <x:c r="E47" s="12" t="s">
        <x:v>131</x:v>
      </x:c>
      <x:c r="F47" s="12" t="s">
        <x:v>9</x:v>
      </x:c>
      <x:c r="G47" s="13">
        <x:v>1</x:v>
      </x:c>
    </x:row>
    <x:row r="48" ht="15">
      <x:c r="A48" s="12" t="s">
        <x:v>386</x:v>
      </x:c>
      <x:c r="B48" s="12" t="s">
        <x:v>28</x:v>
      </x:c>
      <x:c r="C48" s="12" t="s">
        <x:v>27</x:v>
      </x:c>
      <x:c r="D48" s="12" t="s">
        <x:v>134</x:v>
      </x:c>
      <x:c r="E48" s="12" t="s">
        <x:v>135</x:v>
      </x:c>
      <x:c r="F48" s="12" t="s">
        <x:v>9</x:v>
      </x:c>
      <x:c r="G48" s="13">
        <x:v>2</x:v>
      </x:c>
    </x:row>
    <x:row r="49" ht="15">
      <x:c r="A49" s="12" t="s">
        <x:v>386</x:v>
      </x:c>
      <x:c r="B49" s="12" t="s">
        <x:v>28</x:v>
      </x:c>
      <x:c r="C49" s="12" t="s">
        <x:v>27</x:v>
      </x:c>
      <x:c r="D49" s="12" t="s">
        <x:v>139</x:v>
      </x:c>
      <x:c r="E49" s="12" t="s">
        <x:v>140</x:v>
      </x:c>
      <x:c r="F49" s="12" t="s">
        <x:v>9</x:v>
      </x:c>
      <x:c r="G49" s="13">
        <x:v>2</x:v>
      </x:c>
    </x:row>
    <x:row r="50" ht="15">
      <x:c r="A50" s="12" t="s">
        <x:v>386</x:v>
      </x:c>
      <x:c r="B50" s="12" t="s">
        <x:v>28</x:v>
      </x:c>
      <x:c r="C50" s="12" t="s">
        <x:v>27</x:v>
      </x:c>
      <x:c r="D50" s="12" t="s">
        <x:v>209</x:v>
      </x:c>
      <x:c r="E50" s="12" t="s">
        <x:v>210</x:v>
      </x:c>
      <x:c r="F50" s="12" t="s">
        <x:v>6</x:v>
      </x:c>
      <x:c r="G50" s="13">
        <x:v>3</x:v>
      </x:c>
    </x:row>
    <x:row r="51" ht="15">
      <x:c r="A51" s="12" t="s">
        <x:v>386</x:v>
      </x:c>
      <x:c r="B51" s="12" t="s">
        <x:v>28</x:v>
      </x:c>
      <x:c r="C51" s="12" t="s">
        <x:v>27</x:v>
      </x:c>
      <x:c r="D51" s="12" t="s">
        <x:v>227</x:v>
      </x:c>
      <x:c r="E51" s="12" t="s">
        <x:v>228</x:v>
      </x:c>
      <x:c r="F51" s="12" t="s">
        <x:v>6</x:v>
      </x:c>
      <x:c r="G51" s="13">
        <x:v>3</x:v>
      </x:c>
    </x:row>
    <x:row r="52" ht="15">
      <x:c r="A52" s="12" t="s">
        <x:v>386</x:v>
      </x:c>
      <x:c r="B52" s="12" t="s">
        <x:v>28</x:v>
      </x:c>
      <x:c r="C52" s="12" t="s">
        <x:v>27</x:v>
      </x:c>
      <x:c r="D52" s="12" t="s">
        <x:v>231</x:v>
      </x:c>
      <x:c r="E52" s="12" t="s">
        <x:v>232</x:v>
      </x:c>
      <x:c r="F52" s="12" t="s">
        <x:v>6</x:v>
      </x:c>
      <x:c r="G52" s="13">
        <x:v>3</x:v>
      </x:c>
    </x:row>
    <x:row r="53" ht="15">
      <x:c r="A53" s="12" t="s">
        <x:v>386</x:v>
      </x:c>
      <x:c r="B53" s="12" t="s">
        <x:v>28</x:v>
      </x:c>
      <x:c r="C53" s="12" t="s">
        <x:v>27</x:v>
      </x:c>
      <x:c r="D53" s="12" t="s">
        <x:v>233</x:v>
      </x:c>
      <x:c r="E53" s="12" t="s">
        <x:v>234</x:v>
      </x:c>
      <x:c r="F53" s="12" t="s">
        <x:v>6</x:v>
      </x:c>
      <x:c r="G53" s="13">
        <x:v>3</x:v>
      </x:c>
    </x:row>
    <x:row r="54" ht="15">
      <x:c r="A54" s="12" t="s">
        <x:v>386</x:v>
      </x:c>
      <x:c r="B54" s="12" t="s">
        <x:v>28</x:v>
      </x:c>
      <x:c r="C54" s="12" t="s">
        <x:v>27</x:v>
      </x:c>
      <x:c r="D54" s="12" t="s">
        <x:v>307</x:v>
      </x:c>
      <x:c r="E54" s="12" t="s">
        <x:v>308</x:v>
      </x:c>
      <x:c r="F54" s="12" t="s">
        <x:v>12</x:v>
      </x:c>
      <x:c r="G54" s="13">
        <x:v>1</x:v>
      </x:c>
    </x:row>
    <x:row r="55" ht="15">
      <x:c r="A55" s="12" t="s">
        <x:v>386</x:v>
      </x:c>
      <x:c r="B55" s="12" t="s">
        <x:v>28</x:v>
      </x:c>
      <x:c r="C55" s="12" t="s">
        <x:v>27</x:v>
      </x:c>
      <x:c r="D55" s="12" t="s">
        <x:v>313</x:v>
      </x:c>
      <x:c r="E55" s="12" t="s">
        <x:v>314</x:v>
      </x:c>
      <x:c r="F55" s="12" t="s">
        <x:v>12</x:v>
      </x:c>
      <x:c r="G55" s="13">
        <x:v>2</x:v>
      </x:c>
    </x:row>
    <x:row r="56" ht="15">
      <x:c r="A56" s="12" t="s">
        <x:v>386</x:v>
      </x:c>
      <x:c r="B56" s="12" t="s">
        <x:v>28</x:v>
      </x:c>
      <x:c r="C56" s="12" t="s">
        <x:v>27</x:v>
      </x:c>
      <x:c r="D56" s="12" t="s">
        <x:v>320</x:v>
      </x:c>
      <x:c r="E56" s="12" t="s">
        <x:v>321</x:v>
      </x:c>
      <x:c r="F56" s="12" t="s">
        <x:v>12</x:v>
      </x:c>
      <x:c r="G56" s="13">
        <x:v>1</x:v>
      </x:c>
    </x:row>
    <x:row r="57" ht="15">
      <x:c r="A57" s="12" t="s">
        <x:v>386</x:v>
      </x:c>
      <x:c r="B57" s="12" t="s">
        <x:v>28</x:v>
      </x:c>
      <x:c r="C57" s="12" t="s">
        <x:v>27</x:v>
      </x:c>
      <x:c r="D57" s="12" t="s">
        <x:v>339</x:v>
      </x:c>
      <x:c r="E57" s="12" t="s">
        <x:v>340</x:v>
      </x:c>
      <x:c r="F57" s="12" t="s">
        <x:v>12</x:v>
      </x:c>
      <x:c r="G57" s="13">
        <x:v>3</x:v>
      </x:c>
    </x:row>
    <x:row r="58" ht="15">
      <x:c r="A58" s="12" t="s">
        <x:v>386</x:v>
      </x:c>
      <x:c r="B58" s="12" t="s">
        <x:v>28</x:v>
      </x:c>
      <x:c r="C58" s="12" t="s">
        <x:v>27</x:v>
      </x:c>
      <x:c r="D58" s="12" t="s">
        <x:v>326</x:v>
      </x:c>
      <x:c r="E58" s="12" t="s">
        <x:v>327</x:v>
      </x:c>
      <x:c r="F58" s="12" t="s">
        <x:v>12</x:v>
      </x:c>
      <x:c r="G58" s="13">
        <x:v>2</x:v>
      </x:c>
    </x:row>
    <x:row r="59" ht="15">
      <x:c r="A59" s="12" t="s">
        <x:v>386</x:v>
      </x:c>
      <x:c r="B59" s="12" t="s">
        <x:v>28</x:v>
      </x:c>
      <x:c r="C59" s="12" t="s">
        <x:v>27</x:v>
      </x:c>
      <x:c r="D59" s="12" t="s">
        <x:v>372</x:v>
      </x:c>
      <x:c r="E59" s="12" t="s">
        <x:v>373</x:v>
      </x:c>
      <x:c r="F59" s="12" t="s">
        <x:v>17</x:v>
      </x:c>
      <x:c r="G59" s="13">
        <x:v>2</x:v>
      </x:c>
    </x:row>
    <x:row r="60" ht="15">
      <x:c r="A60" s="12" t="s">
        <x:v>386</x:v>
      </x:c>
      <x:c r="B60" s="12" t="s">
        <x:v>28</x:v>
      </x:c>
      <x:c r="C60" s="12" t="s">
        <x:v>27</x:v>
      </x:c>
      <x:c r="D60" s="12" t="s">
        <x:v>375</x:v>
      </x:c>
      <x:c r="E60" s="12" t="s">
        <x:v>376</x:v>
      </x:c>
      <x:c r="F60" s="12" t="s">
        <x:v>17</x:v>
      </x:c>
      <x:c r="G60" s="13">
        <x:v>2</x:v>
      </x:c>
    </x:row>
    <x:row r="61" ht="15">
      <x:c r="A61" s="12" t="s">
        <x:v>387</x:v>
      </x:c>
      <x:c r="B61" s="12" t="s">
        <x:v>30</x:v>
      </x:c>
      <x:c r="C61" s="12" t="s">
        <x:v>29</x:v>
      </x:c>
      <x:c r="D61" s="12" t="s">
        <x:v>152</x:v>
      </x:c>
      <x:c r="E61" s="12" t="s">
        <x:v>153</x:v>
      </x:c>
      <x:c r="F61" s="12" t="s">
        <x:v>9</x:v>
      </x:c>
      <x:c r="G61" s="13">
        <x:v>2</x:v>
      </x:c>
    </x:row>
    <x:row r="62" ht="15">
      <x:c r="A62" s="12" t="s">
        <x:v>387</x:v>
      </x:c>
      <x:c r="B62" s="12" t="s">
        <x:v>30</x:v>
      </x:c>
      <x:c r="C62" s="12" t="s">
        <x:v>29</x:v>
      </x:c>
      <x:c r="D62" s="12" t="s">
        <x:v>168</x:v>
      </x:c>
      <x:c r="E62" s="12" t="s">
        <x:v>169</x:v>
      </x:c>
      <x:c r="F62" s="12" t="s">
        <x:v>9</x:v>
      </x:c>
      <x:c r="G62" s="13">
        <x:v>2</x:v>
      </x:c>
    </x:row>
    <x:row r="63" ht="15">
      <x:c r="A63" s="12" t="s">
        <x:v>387</x:v>
      </x:c>
      <x:c r="B63" s="12" t="s">
        <x:v>30</x:v>
      </x:c>
      <x:c r="C63" s="12" t="s">
        <x:v>29</x:v>
      </x:c>
      <x:c r="D63" s="12" t="s">
        <x:v>156</x:v>
      </x:c>
      <x:c r="E63" s="12" t="s">
        <x:v>157</x:v>
      </x:c>
      <x:c r="F63" s="12" t="s">
        <x:v>9</x:v>
      </x:c>
      <x:c r="G63" s="13">
        <x:v>2</x:v>
      </x:c>
    </x:row>
    <x:row r="64" ht="15">
      <x:c r="A64" s="12" t="s">
        <x:v>387</x:v>
      </x:c>
      <x:c r="B64" s="12" t="s">
        <x:v>30</x:v>
      </x:c>
      <x:c r="C64" s="12" t="s">
        <x:v>29</x:v>
      </x:c>
      <x:c r="D64" s="12" t="s">
        <x:v>206</x:v>
      </x:c>
      <x:c r="E64" s="12" t="s">
        <x:v>207</x:v>
      </x:c>
      <x:c r="F64" s="12" t="s">
        <x:v>6</x:v>
      </x:c>
      <x:c r="G64" s="13">
        <x:v>3</x:v>
      </x:c>
    </x:row>
    <x:row r="65" ht="15">
      <x:c r="A65" s="12" t="s">
        <x:v>387</x:v>
      </x:c>
      <x:c r="B65" s="12" t="s">
        <x:v>30</x:v>
      </x:c>
      <x:c r="C65" s="12" t="s">
        <x:v>29</x:v>
      </x:c>
      <x:c r="D65" s="12" t="s">
        <x:v>238</x:v>
      </x:c>
      <x:c r="E65" s="12" t="s">
        <x:v>239</x:v>
      </x:c>
      <x:c r="F65" s="12" t="s">
        <x:v>6</x:v>
      </x:c>
      <x:c r="G65" s="13">
        <x:v>3</x:v>
      </x:c>
    </x:row>
    <x:row r="66" ht="15">
      <x:c r="A66" s="12" t="s">
        <x:v>387</x:v>
      </x:c>
      <x:c r="B66" s="12" t="s">
        <x:v>30</x:v>
      </x:c>
      <x:c r="C66" s="12" t="s">
        <x:v>29</x:v>
      </x:c>
      <x:c r="D66" s="12" t="s">
        <x:v>213</x:v>
      </x:c>
      <x:c r="E66" s="12" t="s">
        <x:v>214</x:v>
      </x:c>
      <x:c r="F66" s="12" t="s">
        <x:v>6</x:v>
      </x:c>
      <x:c r="G66" s="13">
        <x:v>1</x:v>
      </x:c>
    </x:row>
    <x:row r="67" ht="15">
      <x:c r="A67" s="12" t="s">
        <x:v>387</x:v>
      </x:c>
      <x:c r="B67" s="12" t="s">
        <x:v>30</x:v>
      </x:c>
      <x:c r="C67" s="12" t="s">
        <x:v>29</x:v>
      </x:c>
      <x:c r="D67" s="12" t="s">
        <x:v>221</x:v>
      </x:c>
      <x:c r="E67" s="12" t="s">
        <x:v>222</x:v>
      </x:c>
      <x:c r="F67" s="12" t="s">
        <x:v>6</x:v>
      </x:c>
      <x:c r="G67" s="13">
        <x:v>1</x:v>
      </x:c>
    </x:row>
    <x:row r="68" ht="15">
      <x:c r="A68" s="12" t="s">
        <x:v>387</x:v>
      </x:c>
      <x:c r="B68" s="12" t="s">
        <x:v>30</x:v>
      </x:c>
      <x:c r="C68" s="12" t="s">
        <x:v>29</x:v>
      </x:c>
      <x:c r="D68" s="12" t="s">
        <x:v>236</x:v>
      </x:c>
      <x:c r="E68" s="12" t="s">
        <x:v>237</x:v>
      </x:c>
      <x:c r="F68" s="12" t="s">
        <x:v>6</x:v>
      </x:c>
      <x:c r="G68" s="13">
        <x:v>3</x:v>
      </x:c>
    </x:row>
    <x:row r="69" ht="15">
      <x:c r="A69" s="12" t="s">
        <x:v>387</x:v>
      </x:c>
      <x:c r="B69" s="12" t="s">
        <x:v>30</x:v>
      </x:c>
      <x:c r="C69" s="12" t="s">
        <x:v>29</x:v>
      </x:c>
      <x:c r="D69" s="12" t="s">
        <x:v>310</x:v>
      </x:c>
      <x:c r="E69" s="12" t="s">
        <x:v>311</x:v>
      </x:c>
      <x:c r="F69" s="12" t="s">
        <x:v>12</x:v>
      </x:c>
      <x:c r="G69" s="13">
        <x:v>1</x:v>
      </x:c>
    </x:row>
    <x:row r="70" ht="15">
      <x:c r="A70" s="12" t="s">
        <x:v>387</x:v>
      </x:c>
      <x:c r="B70" s="12" t="s">
        <x:v>30</x:v>
      </x:c>
      <x:c r="C70" s="12" t="s">
        <x:v>29</x:v>
      </x:c>
      <x:c r="D70" s="12" t="s">
        <x:v>313</x:v>
      </x:c>
      <x:c r="E70" s="12" t="s">
        <x:v>314</x:v>
      </x:c>
      <x:c r="F70" s="12" t="s">
        <x:v>12</x:v>
      </x:c>
      <x:c r="G70" s="13">
        <x:v>2</x:v>
      </x:c>
    </x:row>
    <x:row r="71" ht="15">
      <x:c r="A71" s="12" t="s">
        <x:v>387</x:v>
      </x:c>
      <x:c r="B71" s="12" t="s">
        <x:v>30</x:v>
      </x:c>
      <x:c r="C71" s="12" t="s">
        <x:v>29</x:v>
      </x:c>
      <x:c r="D71" s="12" t="s">
        <x:v>320</x:v>
      </x:c>
      <x:c r="E71" s="12" t="s">
        <x:v>321</x:v>
      </x:c>
      <x:c r="F71" s="12" t="s">
        <x:v>12</x:v>
      </x:c>
      <x:c r="G71" s="13">
        <x:v>1</x:v>
      </x:c>
    </x:row>
    <x:row r="72" ht="15">
      <x:c r="A72" s="12" t="s">
        <x:v>387</x:v>
      </x:c>
      <x:c r="B72" s="12" t="s">
        <x:v>30</x:v>
      </x:c>
      <x:c r="C72" s="12" t="s">
        <x:v>29</x:v>
      </x:c>
      <x:c r="D72" s="12" t="s">
        <x:v>339</x:v>
      </x:c>
      <x:c r="E72" s="12" t="s">
        <x:v>340</x:v>
      </x:c>
      <x:c r="F72" s="12" t="s">
        <x:v>12</x:v>
      </x:c>
      <x:c r="G72" s="13">
        <x:v>3</x:v>
      </x:c>
    </x:row>
    <x:row r="73" ht="15">
      <x:c r="A73" s="12" t="s">
        <x:v>387</x:v>
      </x:c>
      <x:c r="B73" s="12" t="s">
        <x:v>30</x:v>
      </x:c>
      <x:c r="C73" s="12" t="s">
        <x:v>29</x:v>
      </x:c>
      <x:c r="D73" s="12" t="s">
        <x:v>326</x:v>
      </x:c>
      <x:c r="E73" s="12" t="s">
        <x:v>327</x:v>
      </x:c>
      <x:c r="F73" s="12" t="s">
        <x:v>12</x:v>
      </x:c>
      <x:c r="G73" s="13">
        <x:v>2</x:v>
      </x:c>
    </x:row>
    <x:row r="74" ht="15">
      <x:c r="A74" s="12" t="s">
        <x:v>387</x:v>
      </x:c>
      <x:c r="B74" s="12" t="s">
        <x:v>30</x:v>
      </x:c>
      <x:c r="C74" s="12" t="s">
        <x:v>29</x:v>
      </x:c>
      <x:c r="D74" s="12" t="s">
        <x:v>372</x:v>
      </x:c>
      <x:c r="E74" s="12" t="s">
        <x:v>373</x:v>
      </x:c>
      <x:c r="F74" s="12" t="s">
        <x:v>17</x:v>
      </x:c>
      <x:c r="G74" s="13">
        <x:v>2</x:v>
      </x:c>
    </x:row>
    <x:row r="75" ht="15">
      <x:c r="A75" s="12" t="s">
        <x:v>387</x:v>
      </x:c>
      <x:c r="B75" s="12" t="s">
        <x:v>30</x:v>
      </x:c>
      <x:c r="C75" s="12" t="s">
        <x:v>29</x:v>
      </x:c>
      <x:c r="D75" s="12" t="s">
        <x:v>375</x:v>
      </x:c>
      <x:c r="E75" s="12" t="s">
        <x:v>376</x:v>
      </x:c>
      <x:c r="F75" s="12" t="s">
        <x:v>17</x:v>
      </x:c>
      <x:c r="G75" s="13">
        <x:v>2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4a00c4322054a88"/>
  </x:tableParts>
</x:worksheet>
</file>